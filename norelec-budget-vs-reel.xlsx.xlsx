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ding\Downloads\Project 5\"/>
    </mc:Choice>
  </mc:AlternateContent>
  <xr:revisionPtr revIDLastSave="0" documentId="13_ncr:1_{E669E89D-EDFF-475C-B29A-58F1561CAE20}" xr6:coauthVersionLast="47" xr6:coauthVersionMax="47" xr10:uidLastSave="{00000000-0000-0000-0000-000000000000}"/>
  <bookViews>
    <workbookView xWindow="-108" yWindow="-108" windowWidth="23256" windowHeight="12456" firstSheet="9" activeTab="12" xr2:uid="{66B564C8-967B-410A-9BE9-813F1813031D}"/>
  </bookViews>
  <sheets>
    <sheet name="README" sheetId="1" r:id="rId1"/>
    <sheet name="SYNTHESE" sheetId="12" r:id="rId2"/>
    <sheet name="Synthèse_Rentabilité" sheetId="17" r:id="rId3"/>
    <sheet name="BUDGET" sheetId="2" r:id="rId4"/>
    <sheet name="REEL" sheetId="4" r:id="rId5"/>
    <sheet name="Consolide" sheetId="6" r:id="rId6"/>
    <sheet name="Dashboard" sheetId="7" r:id="rId7"/>
    <sheet name="Dashboard_Coût" sheetId="9" r:id="rId8"/>
    <sheet name="ANALYSE_VPM" sheetId="10" r:id="rId9"/>
    <sheet name="ANALYSE_MARGE" sheetId="11" r:id="rId10"/>
    <sheet name="CLIENTS" sheetId="13" r:id="rId11"/>
    <sheet name="VENTES" sheetId="14" r:id="rId12"/>
    <sheet name="Analyse_Rentabilité_Produit" sheetId="15" r:id="rId13"/>
    <sheet name="Analyse_Rentabilité_Client" sheetId="16" r:id="rId14"/>
  </sheets>
  <definedNames>
    <definedName name="ListeMois" localSheetId="4">REEL!$K$8:$K$19</definedName>
    <definedName name="ListeMois">BUDGET!$K$8:$K$19</definedName>
    <definedName name="ListeProduits" localSheetId="4">REEL!$K$2:$K$4</definedName>
    <definedName name="ListeProduits">BUDGET!$K$2:$K$4</definedName>
    <definedName name="ListeRegions" localSheetId="4">REEL!$K$23:$K$26</definedName>
    <definedName name="ListeRegions">BUDGET!$K$23:$K$26</definedName>
  </definedNames>
  <calcPr calcId="191029"/>
  <pivotCaches>
    <pivotCache cacheId="0" r:id="rId15"/>
    <pivotCache cacheId="8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7" i="7" l="1"/>
  <c r="I8" i="7"/>
  <c r="I9" i="7"/>
  <c r="I10" i="7"/>
  <c r="I11" i="7"/>
  <c r="I12" i="7"/>
  <c r="I13" i="7"/>
  <c r="I14" i="7"/>
  <c r="I15" i="7"/>
  <c r="I16" i="7"/>
  <c r="I17" i="7"/>
  <c r="I18" i="7"/>
  <c r="I6" i="7"/>
  <c r="I18" i="9"/>
  <c r="I17" i="9"/>
  <c r="I16" i="9"/>
  <c r="I15" i="9"/>
  <c r="I14" i="9"/>
  <c r="I13" i="9"/>
  <c r="I12" i="9"/>
  <c r="I11" i="9"/>
  <c r="I10" i="9"/>
  <c r="I9" i="9"/>
  <c r="I8" i="9"/>
  <c r="I7" i="9"/>
  <c r="B289" i="6" a="1"/>
  <c r="B289" i="6" s="1"/>
  <c r="B288" i="6"/>
  <c r="B288" i="6" a="1"/>
  <c r="B287" i="6" a="1"/>
  <c r="B287" i="6" s="1"/>
  <c r="B286" i="6"/>
  <c r="B286" i="6" a="1"/>
  <c r="B285" i="6" a="1"/>
  <c r="B285" i="6" s="1"/>
  <c r="B284" i="6"/>
  <c r="B284" i="6" a="1"/>
  <c r="B283" i="6" a="1"/>
  <c r="B283" i="6" s="1"/>
  <c r="B282" i="6"/>
  <c r="B282" i="6" a="1"/>
  <c r="B281" i="6" a="1"/>
  <c r="B281" i="6" s="1"/>
  <c r="B280" i="6"/>
  <c r="B280" i="6" a="1"/>
  <c r="B279" i="6" a="1"/>
  <c r="B279" i="6" s="1"/>
  <c r="B278" i="6"/>
  <c r="B278" i="6" a="1"/>
  <c r="B277" i="6" a="1"/>
  <c r="B277" i="6" s="1"/>
  <c r="B276" i="6"/>
  <c r="B276" i="6" a="1"/>
  <c r="B275" i="6" a="1"/>
  <c r="B275" i="6" s="1"/>
  <c r="B274" i="6"/>
  <c r="B274" i="6" a="1"/>
  <c r="B273" i="6" a="1"/>
  <c r="B273" i="6" s="1"/>
  <c r="B272" i="6"/>
  <c r="B272" i="6" a="1"/>
  <c r="B271" i="6" a="1"/>
  <c r="B271" i="6" s="1"/>
  <c r="B270" i="6"/>
  <c r="B270" i="6" a="1"/>
  <c r="B269" i="6" a="1"/>
  <c r="B269" i="6" s="1"/>
  <c r="B268" i="6"/>
  <c r="B268" i="6" a="1"/>
  <c r="B267" i="6" a="1"/>
  <c r="B267" i="6" s="1"/>
  <c r="B266" i="6"/>
  <c r="B266" i="6" a="1"/>
  <c r="B265" i="6" a="1"/>
  <c r="B265" i="6" s="1"/>
  <c r="B264" i="6"/>
  <c r="B264" i="6" a="1"/>
  <c r="B263" i="6" a="1"/>
  <c r="B263" i="6" s="1"/>
  <c r="B262" i="6"/>
  <c r="B262" i="6" a="1"/>
  <c r="B261" i="6" a="1"/>
  <c r="B261" i="6" s="1"/>
  <c r="B260" i="6"/>
  <c r="B260" i="6" a="1"/>
  <c r="B259" i="6" a="1"/>
  <c r="B259" i="6" s="1"/>
  <c r="B258" i="6"/>
  <c r="B258" i="6" a="1"/>
  <c r="B257" i="6" a="1"/>
  <c r="B257" i="6" s="1"/>
  <c r="B256" i="6"/>
  <c r="B256" i="6" a="1"/>
  <c r="B255" i="6" a="1"/>
  <c r="B255" i="6" s="1"/>
  <c r="B254" i="6"/>
  <c r="B254" i="6" a="1"/>
  <c r="B253" i="6" a="1"/>
  <c r="B253" i="6" s="1"/>
  <c r="B252" i="6"/>
  <c r="B252" i="6" a="1"/>
  <c r="B251" i="6" a="1"/>
  <c r="B251" i="6" s="1"/>
  <c r="B250" i="6"/>
  <c r="B250" i="6" a="1"/>
  <c r="B249" i="6" a="1"/>
  <c r="B249" i="6" s="1"/>
  <c r="B248" i="6"/>
  <c r="B248" i="6" a="1"/>
  <c r="B247" i="6" a="1"/>
  <c r="B247" i="6" s="1"/>
  <c r="B246" i="6"/>
  <c r="B246" i="6" a="1"/>
  <c r="B245" i="6" a="1"/>
  <c r="B245" i="6" s="1"/>
  <c r="B244" i="6"/>
  <c r="B244" i="6" a="1"/>
  <c r="B243" i="6" a="1"/>
  <c r="B243" i="6" s="1"/>
  <c r="B242" i="6"/>
  <c r="B242" i="6" a="1"/>
  <c r="B241" i="6" a="1"/>
  <c r="B241" i="6" s="1"/>
  <c r="B240" i="6"/>
  <c r="B240" i="6" a="1"/>
  <c r="B239" i="6" a="1"/>
  <c r="B239" i="6" s="1"/>
  <c r="B238" i="6"/>
  <c r="B238" i="6" a="1"/>
  <c r="B237" i="6" a="1"/>
  <c r="B237" i="6" s="1"/>
  <c r="B236" i="6"/>
  <c r="B236" i="6" a="1"/>
  <c r="B235" i="6" a="1"/>
  <c r="B235" i="6" s="1"/>
  <c r="B234" i="6"/>
  <c r="B234" i="6" a="1"/>
  <c r="B233" i="6" a="1"/>
  <c r="B233" i="6" s="1"/>
  <c r="B232" i="6"/>
  <c r="B232" i="6" a="1"/>
  <c r="B231" i="6" a="1"/>
  <c r="B231" i="6" s="1"/>
  <c r="B230" i="6"/>
  <c r="B230" i="6" a="1"/>
  <c r="B229" i="6" a="1"/>
  <c r="B229" i="6" s="1"/>
  <c r="B228" i="6"/>
  <c r="B228" i="6" a="1"/>
  <c r="B227" i="6" a="1"/>
  <c r="B227" i="6" s="1"/>
  <c r="B226" i="6"/>
  <c r="B226" i="6" a="1"/>
  <c r="B225" i="6" a="1"/>
  <c r="B225" i="6" s="1"/>
  <c r="B224" i="6"/>
  <c r="B224" i="6" a="1"/>
  <c r="B223" i="6" a="1"/>
  <c r="B223" i="6" s="1"/>
  <c r="B222" i="6"/>
  <c r="B222" i="6" a="1"/>
  <c r="B221" i="6" a="1"/>
  <c r="B221" i="6" s="1"/>
  <c r="B220" i="6"/>
  <c r="B220" i="6" a="1"/>
  <c r="B219" i="6" a="1"/>
  <c r="B219" i="6" s="1"/>
  <c r="B218" i="6"/>
  <c r="B218" i="6" a="1"/>
  <c r="B217" i="6" a="1"/>
  <c r="B217" i="6" s="1"/>
  <c r="B216" i="6"/>
  <c r="B216" i="6" a="1"/>
  <c r="B215" i="6" a="1"/>
  <c r="B215" i="6" s="1"/>
  <c r="B214" i="6"/>
  <c r="B214" i="6" a="1"/>
  <c r="B213" i="6" a="1"/>
  <c r="B213" i="6" s="1"/>
  <c r="B212" i="6"/>
  <c r="B212" i="6" a="1"/>
  <c r="B211" i="6" a="1"/>
  <c r="B211" i="6" s="1"/>
  <c r="B210" i="6"/>
  <c r="B210" i="6" a="1"/>
  <c r="B209" i="6" a="1"/>
  <c r="B209" i="6" s="1"/>
  <c r="B208" i="6"/>
  <c r="B208" i="6" a="1"/>
  <c r="B207" i="6" a="1"/>
  <c r="B207" i="6" s="1"/>
  <c r="B206" i="6"/>
  <c r="B206" i="6" a="1"/>
  <c r="B205" i="6" a="1"/>
  <c r="B205" i="6" s="1"/>
  <c r="B204" i="6"/>
  <c r="B204" i="6" a="1"/>
  <c r="B203" i="6" a="1"/>
  <c r="B203" i="6" s="1"/>
  <c r="B202" i="6"/>
  <c r="B202" i="6" a="1"/>
  <c r="B201" i="6" a="1"/>
  <c r="B201" i="6" s="1"/>
  <c r="B200" i="6"/>
  <c r="B200" i="6" a="1"/>
  <c r="B199" i="6" a="1"/>
  <c r="B199" i="6" s="1"/>
  <c r="B198" i="6"/>
  <c r="B198" i="6" a="1"/>
  <c r="B197" i="6" a="1"/>
  <c r="B197" i="6" s="1"/>
  <c r="B196" i="6"/>
  <c r="B196" i="6" a="1"/>
  <c r="B195" i="6" a="1"/>
  <c r="B195" i="6" s="1"/>
  <c r="B194" i="6"/>
  <c r="B194" i="6" a="1"/>
  <c r="B193" i="6" a="1"/>
  <c r="B193" i="6" s="1"/>
  <c r="B192" i="6"/>
  <c r="B192" i="6" a="1"/>
  <c r="B191" i="6" a="1"/>
  <c r="B191" i="6" s="1"/>
  <c r="B190" i="6"/>
  <c r="B190" i="6" a="1"/>
  <c r="B189" i="6" a="1"/>
  <c r="B189" i="6" s="1"/>
  <c r="B188" i="6"/>
  <c r="B188" i="6" a="1"/>
  <c r="B187" i="6" a="1"/>
  <c r="B187" i="6" s="1"/>
  <c r="B186" i="6"/>
  <c r="B186" i="6" a="1"/>
  <c r="B185" i="6" a="1"/>
  <c r="B185" i="6" s="1"/>
  <c r="B184" i="6"/>
  <c r="B184" i="6" a="1"/>
  <c r="B183" i="6" a="1"/>
  <c r="B183" i="6" s="1"/>
  <c r="B182" i="6"/>
  <c r="B182" i="6" a="1"/>
  <c r="B181" i="6" a="1"/>
  <c r="B181" i="6" s="1"/>
  <c r="B180" i="6"/>
  <c r="B180" i="6" a="1"/>
  <c r="B179" i="6" a="1"/>
  <c r="B179" i="6" s="1"/>
  <c r="B178" i="6"/>
  <c r="B178" i="6" a="1"/>
  <c r="B177" i="6" a="1"/>
  <c r="B177" i="6" s="1"/>
  <c r="B176" i="6"/>
  <c r="B176" i="6" a="1"/>
  <c r="B175" i="6" a="1"/>
  <c r="B175" i="6" s="1"/>
  <c r="B174" i="6"/>
  <c r="B174" i="6" a="1"/>
  <c r="B173" i="6" a="1"/>
  <c r="B173" i="6" s="1"/>
  <c r="B172" i="6"/>
  <c r="B172" i="6" a="1"/>
  <c r="B171" i="6" a="1"/>
  <c r="B171" i="6" s="1"/>
  <c r="B170" i="6"/>
  <c r="B170" i="6" a="1"/>
  <c r="B169" i="6" a="1"/>
  <c r="B169" i="6" s="1"/>
  <c r="B168" i="6"/>
  <c r="B168" i="6" a="1"/>
  <c r="B167" i="6" a="1"/>
  <c r="B167" i="6" s="1"/>
  <c r="B166" i="6"/>
  <c r="B166" i="6" a="1"/>
  <c r="B165" i="6" a="1"/>
  <c r="B165" i="6" s="1"/>
  <c r="B164" i="6"/>
  <c r="B164" i="6" a="1"/>
  <c r="B163" i="6" a="1"/>
  <c r="B163" i="6" s="1"/>
  <c r="B162" i="6"/>
  <c r="B162" i="6" a="1"/>
  <c r="B161" i="6" a="1"/>
  <c r="B161" i="6" s="1"/>
  <c r="B160" i="6"/>
  <c r="B160" i="6" a="1"/>
  <c r="B159" i="6" a="1"/>
  <c r="B159" i="6" s="1"/>
  <c r="B158" i="6"/>
  <c r="B158" i="6" a="1"/>
  <c r="B157" i="6" a="1"/>
  <c r="B157" i="6" s="1"/>
  <c r="B156" i="6"/>
  <c r="B156" i="6" a="1"/>
  <c r="B155" i="6" a="1"/>
  <c r="B155" i="6" s="1"/>
  <c r="B154" i="6"/>
  <c r="B154" i="6" a="1"/>
  <c r="B153" i="6" a="1"/>
  <c r="B153" i="6" s="1"/>
  <c r="B152" i="6"/>
  <c r="B152" i="6" a="1"/>
  <c r="B151" i="6" a="1"/>
  <c r="B151" i="6" s="1"/>
  <c r="B150" i="6"/>
  <c r="B150" i="6" a="1"/>
  <c r="B149" i="6" a="1"/>
  <c r="B149" i="6" s="1"/>
  <c r="B148" i="6"/>
  <c r="B148" i="6" a="1"/>
  <c r="B147" i="6" a="1"/>
  <c r="B147" i="6" s="1"/>
  <c r="B146" i="6"/>
  <c r="B146" i="6" a="1"/>
  <c r="B145" i="6" a="1"/>
  <c r="B145" i="6" s="1"/>
  <c r="B144" i="6"/>
  <c r="B144" i="6" a="1"/>
  <c r="B143" i="6" a="1"/>
  <c r="B143" i="6" s="1"/>
  <c r="B142" i="6"/>
  <c r="B142" i="6" a="1"/>
  <c r="B141" i="6" a="1"/>
  <c r="B141" i="6" s="1"/>
  <c r="B140" i="6"/>
  <c r="B140" i="6" a="1"/>
  <c r="B139" i="6" a="1"/>
  <c r="B139" i="6" s="1"/>
  <c r="B138" i="6"/>
  <c r="B138" i="6" a="1"/>
  <c r="B137" i="6" a="1"/>
  <c r="B137" i="6" s="1"/>
  <c r="B136" i="6"/>
  <c r="B136" i="6" a="1"/>
  <c r="B135" i="6" a="1"/>
  <c r="B135" i="6" s="1"/>
  <c r="B134" i="6"/>
  <c r="B134" i="6" a="1"/>
  <c r="B133" i="6" a="1"/>
  <c r="B133" i="6" s="1"/>
  <c r="B132" i="6"/>
  <c r="B132" i="6" a="1"/>
  <c r="B131" i="6" a="1"/>
  <c r="B131" i="6" s="1"/>
  <c r="B130" i="6"/>
  <c r="B130" i="6" a="1"/>
  <c r="B129" i="6" a="1"/>
  <c r="B129" i="6" s="1"/>
  <c r="B128" i="6"/>
  <c r="B128" i="6" a="1"/>
  <c r="B127" i="6" a="1"/>
  <c r="B127" i="6" s="1"/>
  <c r="B126" i="6"/>
  <c r="B126" i="6" a="1"/>
  <c r="B125" i="6" a="1"/>
  <c r="B125" i="6" s="1"/>
  <c r="B124" i="6"/>
  <c r="B124" i="6" a="1"/>
  <c r="B123" i="6" a="1"/>
  <c r="B123" i="6" s="1"/>
  <c r="B122" i="6"/>
  <c r="B122" i="6" a="1"/>
  <c r="B121" i="6" a="1"/>
  <c r="B121" i="6" s="1"/>
  <c r="B120" i="6"/>
  <c r="B120" i="6" a="1"/>
  <c r="B119" i="6" a="1"/>
  <c r="B119" i="6" s="1"/>
  <c r="B118" i="6"/>
  <c r="B118" i="6" a="1"/>
  <c r="B117" i="6" a="1"/>
  <c r="B117" i="6" s="1"/>
  <c r="B116" i="6" a="1"/>
  <c r="B116" i="6" s="1"/>
  <c r="B115" i="6" a="1"/>
  <c r="B115" i="6" s="1"/>
  <c r="B114" i="6"/>
  <c r="B114" i="6" a="1"/>
  <c r="B113" i="6" a="1"/>
  <c r="B113" i="6" s="1"/>
  <c r="B112" i="6" a="1"/>
  <c r="B112" i="6" s="1"/>
  <c r="B111" i="6" a="1"/>
  <c r="B111" i="6" s="1"/>
  <c r="B110" i="6" a="1"/>
  <c r="B110" i="6" s="1"/>
  <c r="B109" i="6" a="1"/>
  <c r="B109" i="6" s="1"/>
  <c r="B108" i="6" a="1"/>
  <c r="B108" i="6" s="1"/>
  <c r="B107" i="6" a="1"/>
  <c r="B107" i="6" s="1"/>
  <c r="B106" i="6"/>
  <c r="B106" i="6" a="1"/>
  <c r="B105" i="6" a="1"/>
  <c r="B105" i="6" s="1"/>
  <c r="B104" i="6" a="1"/>
  <c r="B104" i="6" s="1"/>
  <c r="B103" i="6" a="1"/>
  <c r="B103" i="6" s="1"/>
  <c r="B102" i="6"/>
  <c r="B102" i="6" a="1"/>
  <c r="B101" i="6" a="1"/>
  <c r="B101" i="6" s="1"/>
  <c r="B100" i="6" a="1"/>
  <c r="B100" i="6" s="1"/>
  <c r="B99" i="6" a="1"/>
  <c r="B99" i="6" s="1"/>
  <c r="B98" i="6" a="1"/>
  <c r="B98" i="6" s="1"/>
  <c r="B97" i="6" a="1"/>
  <c r="B97" i="6" s="1"/>
  <c r="B96" i="6" a="1"/>
  <c r="B96" i="6" s="1"/>
  <c r="B95" i="6" a="1"/>
  <c r="B95" i="6" s="1"/>
  <c r="B94" i="6" a="1"/>
  <c r="B94" i="6" s="1"/>
  <c r="B93" i="6" a="1"/>
  <c r="B93" i="6" s="1"/>
  <c r="B92" i="6" a="1"/>
  <c r="B92" i="6" s="1"/>
  <c r="B91" i="6" a="1"/>
  <c r="B91" i="6" s="1"/>
  <c r="B90" i="6" a="1"/>
  <c r="B90" i="6" s="1"/>
  <c r="B89" i="6" a="1"/>
  <c r="B89" i="6" s="1"/>
  <c r="B88" i="6" a="1"/>
  <c r="B88" i="6" s="1"/>
  <c r="B87" i="6" a="1"/>
  <c r="B87" i="6" s="1"/>
  <c r="B86" i="6" a="1"/>
  <c r="B86" i="6" s="1"/>
  <c r="B85" i="6" a="1"/>
  <c r="B85" i="6" s="1"/>
  <c r="B84" i="6" a="1"/>
  <c r="B84" i="6" s="1"/>
  <c r="B83" i="6" a="1"/>
  <c r="B83" i="6" s="1"/>
  <c r="B82" i="6" a="1"/>
  <c r="B82" i="6" s="1"/>
  <c r="B81" i="6" a="1"/>
  <c r="B81" i="6" s="1"/>
  <c r="B80" i="6" a="1"/>
  <c r="B80" i="6" s="1"/>
  <c r="B79" i="6" a="1"/>
  <c r="B79" i="6" s="1"/>
  <c r="B78" i="6" a="1"/>
  <c r="B78" i="6" s="1"/>
  <c r="B77" i="6" a="1"/>
  <c r="B77" i="6" s="1"/>
  <c r="B76" i="6" a="1"/>
  <c r="B76" i="6" s="1"/>
  <c r="B75" i="6" a="1"/>
  <c r="B75" i="6" s="1"/>
  <c r="B74" i="6" a="1"/>
  <c r="B74" i="6" s="1"/>
  <c r="B73" i="6" a="1"/>
  <c r="B73" i="6" s="1"/>
  <c r="B72" i="6" a="1"/>
  <c r="B72" i="6" s="1"/>
  <c r="B71" i="6" a="1"/>
  <c r="B71" i="6" s="1"/>
  <c r="B70" i="6" a="1"/>
  <c r="B70" i="6" s="1"/>
  <c r="B69" i="6" a="1"/>
  <c r="B69" i="6" s="1"/>
  <c r="B68" i="6" a="1"/>
  <c r="B68" i="6" s="1"/>
  <c r="B67" i="6" a="1"/>
  <c r="B67" i="6" s="1"/>
  <c r="B66" i="6" a="1"/>
  <c r="B66" i="6" s="1"/>
  <c r="B65" i="6" a="1"/>
  <c r="B65" i="6" s="1"/>
  <c r="B64" i="6" a="1"/>
  <c r="B64" i="6" s="1"/>
  <c r="B63" i="6" a="1"/>
  <c r="B63" i="6" s="1"/>
  <c r="B62" i="6" a="1"/>
  <c r="B62" i="6" s="1"/>
  <c r="B61" i="6" a="1"/>
  <c r="B61" i="6" s="1"/>
  <c r="B60" i="6" a="1"/>
  <c r="B60" i="6" s="1"/>
  <c r="B59" i="6" a="1"/>
  <c r="B59" i="6" s="1"/>
  <c r="B58" i="6" a="1"/>
  <c r="B58" i="6" s="1"/>
  <c r="B57" i="6" a="1"/>
  <c r="B57" i="6" s="1"/>
  <c r="B56" i="6" a="1"/>
  <c r="B56" i="6" s="1"/>
  <c r="B55" i="6" a="1"/>
  <c r="B55" i="6" s="1"/>
  <c r="B54" i="6" a="1"/>
  <c r="B54" i="6" s="1"/>
  <c r="B53" i="6" a="1"/>
  <c r="B53" i="6" s="1"/>
  <c r="B52" i="6" a="1"/>
  <c r="B52" i="6" s="1"/>
  <c r="B51" i="6" a="1"/>
  <c r="B51" i="6" s="1"/>
  <c r="B50" i="6" a="1"/>
  <c r="B50" i="6" s="1"/>
  <c r="B49" i="6" a="1"/>
  <c r="B49" i="6" s="1"/>
  <c r="B48" i="6" a="1"/>
  <c r="B48" i="6" s="1"/>
  <c r="B47" i="6" a="1"/>
  <c r="B47" i="6" s="1"/>
  <c r="B46" i="6" a="1"/>
  <c r="B46" i="6" s="1"/>
  <c r="B45" i="6" a="1"/>
  <c r="B45" i="6" s="1"/>
  <c r="B44" i="6" a="1"/>
  <c r="B44" i="6" s="1"/>
  <c r="B43" i="6" a="1"/>
  <c r="B43" i="6" s="1"/>
  <c r="B42" i="6" a="1"/>
  <c r="B42" i="6" s="1"/>
  <c r="B41" i="6" a="1"/>
  <c r="B41" i="6" s="1"/>
  <c r="B40" i="6" a="1"/>
  <c r="B40" i="6" s="1"/>
  <c r="B39" i="6" a="1"/>
  <c r="B39" i="6" s="1"/>
  <c r="B38" i="6" a="1"/>
  <c r="B38" i="6" s="1"/>
  <c r="B37" i="6" a="1"/>
  <c r="B37" i="6" s="1"/>
  <c r="B36" i="6" a="1"/>
  <c r="B36" i="6" s="1"/>
  <c r="B35" i="6" a="1"/>
  <c r="B35" i="6" s="1"/>
  <c r="B34" i="6" a="1"/>
  <c r="B34" i="6" s="1"/>
  <c r="B33" i="6" a="1"/>
  <c r="B33" i="6" s="1"/>
  <c r="B32" i="6" a="1"/>
  <c r="B32" i="6" s="1"/>
  <c r="B31" i="6" a="1"/>
  <c r="B31" i="6" s="1"/>
  <c r="B30" i="6" a="1"/>
  <c r="B30" i="6" s="1"/>
  <c r="B29" i="6" a="1"/>
  <c r="B29" i="6" s="1"/>
  <c r="B28" i="6" a="1"/>
  <c r="B28" i="6" s="1"/>
  <c r="B27" i="6" a="1"/>
  <c r="B27" i="6" s="1"/>
  <c r="B26" i="6" a="1"/>
  <c r="B26" i="6" s="1"/>
  <c r="B25" i="6" a="1"/>
  <c r="B25" i="6" s="1"/>
  <c r="B24" i="6" a="1"/>
  <c r="B24" i="6" s="1"/>
  <c r="B23" i="6" a="1"/>
  <c r="B23" i="6" s="1"/>
  <c r="B22" i="6" a="1"/>
  <c r="B22" i="6" s="1"/>
  <c r="B21" i="6" a="1"/>
  <c r="B21" i="6" s="1"/>
  <c r="B20" i="6" a="1"/>
  <c r="B20" i="6" s="1"/>
  <c r="B19" i="6" a="1"/>
  <c r="B19" i="6" s="1"/>
  <c r="B18" i="6" a="1"/>
  <c r="B18" i="6" s="1"/>
  <c r="B17" i="6" a="1"/>
  <c r="B17" i="6" s="1"/>
  <c r="B16" i="6" a="1"/>
  <c r="B16" i="6" s="1"/>
  <c r="B15" i="6" a="1"/>
  <c r="B15" i="6" s="1"/>
  <c r="B14" i="6" a="1"/>
  <c r="B14" i="6" s="1"/>
  <c r="B13" i="6" a="1"/>
  <c r="B13" i="6" s="1"/>
  <c r="B12" i="6" a="1"/>
  <c r="B12" i="6" s="1"/>
  <c r="B11" i="6" a="1"/>
  <c r="B11" i="6" s="1"/>
  <c r="B10" i="6" a="1"/>
  <c r="B10" i="6" s="1"/>
  <c r="B9" i="6" a="1"/>
  <c r="B9" i="6" s="1"/>
  <c r="B8" i="6" a="1"/>
  <c r="B8" i="6" s="1"/>
  <c r="B7" i="6" a="1"/>
  <c r="B7" i="6" s="1"/>
  <c r="B6" i="6" a="1"/>
  <c r="B6" i="6" s="1"/>
  <c r="B5" i="6" a="1"/>
  <c r="B5" i="6" s="1"/>
  <c r="B4" i="6" a="1"/>
  <c r="B4" i="6" s="1"/>
  <c r="B3" i="6" a="1"/>
  <c r="B3" i="6" s="1"/>
  <c r="B2" i="6" a="1"/>
  <c r="B2" i="6" s="1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146" i="6"/>
  <c r="D147" i="6"/>
  <c r="D148" i="6"/>
  <c r="D149" i="6"/>
  <c r="D150" i="6"/>
  <c r="D151" i="6"/>
  <c r="D152" i="6"/>
  <c r="D153" i="6"/>
  <c r="C3" i="10" s="1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146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2" i="6"/>
  <c r="D3" i="6"/>
  <c r="D4" i="6"/>
  <c r="D5" i="6"/>
  <c r="D6" i="6"/>
  <c r="D7" i="6"/>
  <c r="D8" i="6"/>
  <c r="D9" i="6"/>
  <c r="D10" i="6"/>
  <c r="B4" i="11" s="1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2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3" i="6"/>
  <c r="C2" i="6"/>
  <c r="A145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3" i="6"/>
  <c r="A2" i="6"/>
  <c r="N2" i="14"/>
  <c r="N3" i="14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O2" i="14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M2" i="14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H2" i="14"/>
  <c r="K5" i="14"/>
  <c r="L5" i="14" s="1"/>
  <c r="K7" i="14"/>
  <c r="L7" i="14" s="1"/>
  <c r="K8" i="14"/>
  <c r="L8" i="14" s="1"/>
  <c r="K13" i="14"/>
  <c r="L13" i="14" s="1"/>
  <c r="K15" i="14"/>
  <c r="L15" i="14" s="1"/>
  <c r="K16" i="14"/>
  <c r="L16" i="14" s="1"/>
  <c r="K21" i="14"/>
  <c r="L21" i="14" s="1"/>
  <c r="K23" i="14"/>
  <c r="L23" i="14" s="1"/>
  <c r="K24" i="14"/>
  <c r="L24" i="14" s="1"/>
  <c r="K29" i="14"/>
  <c r="L29" i="14" s="1"/>
  <c r="K31" i="14"/>
  <c r="L31" i="14" s="1"/>
  <c r="K32" i="14"/>
  <c r="L32" i="14" s="1"/>
  <c r="K37" i="14"/>
  <c r="L37" i="14" s="1"/>
  <c r="K39" i="14"/>
  <c r="L39" i="14" s="1"/>
  <c r="K40" i="14"/>
  <c r="L40" i="14" s="1"/>
  <c r="K45" i="14"/>
  <c r="L45" i="14" s="1"/>
  <c r="K47" i="14"/>
  <c r="L47" i="14" s="1"/>
  <c r="K48" i="14"/>
  <c r="L48" i="14" s="1"/>
  <c r="K53" i="14"/>
  <c r="L53" i="14" s="1"/>
  <c r="K55" i="14"/>
  <c r="L55" i="14" s="1"/>
  <c r="K56" i="14"/>
  <c r="L56" i="14" s="1"/>
  <c r="K61" i="14"/>
  <c r="L61" i="14" s="1"/>
  <c r="J2" i="14"/>
  <c r="J3" i="14"/>
  <c r="J4" i="14"/>
  <c r="K4" i="14" s="1"/>
  <c r="L4" i="14" s="1"/>
  <c r="J5" i="14"/>
  <c r="J6" i="14"/>
  <c r="J7" i="14"/>
  <c r="J8" i="14"/>
  <c r="J9" i="14"/>
  <c r="J10" i="14"/>
  <c r="K10" i="14" s="1"/>
  <c r="L10" i="14" s="1"/>
  <c r="J11" i="14"/>
  <c r="J12" i="14"/>
  <c r="K12" i="14" s="1"/>
  <c r="L12" i="14" s="1"/>
  <c r="J13" i="14"/>
  <c r="J14" i="14"/>
  <c r="J15" i="14"/>
  <c r="J16" i="14"/>
  <c r="J17" i="14"/>
  <c r="J18" i="14"/>
  <c r="K18" i="14" s="1"/>
  <c r="L18" i="14" s="1"/>
  <c r="J19" i="14"/>
  <c r="J20" i="14"/>
  <c r="K20" i="14" s="1"/>
  <c r="L20" i="14" s="1"/>
  <c r="J21" i="14"/>
  <c r="J22" i="14"/>
  <c r="J23" i="14"/>
  <c r="J24" i="14"/>
  <c r="J25" i="14"/>
  <c r="J26" i="14"/>
  <c r="K26" i="14" s="1"/>
  <c r="L26" i="14" s="1"/>
  <c r="J27" i="14"/>
  <c r="J28" i="14"/>
  <c r="K28" i="14" s="1"/>
  <c r="L28" i="14" s="1"/>
  <c r="J29" i="14"/>
  <c r="J30" i="14"/>
  <c r="J31" i="14"/>
  <c r="J32" i="14"/>
  <c r="J33" i="14"/>
  <c r="J34" i="14"/>
  <c r="K34" i="14" s="1"/>
  <c r="L34" i="14" s="1"/>
  <c r="J35" i="14"/>
  <c r="J36" i="14"/>
  <c r="K36" i="14" s="1"/>
  <c r="L36" i="14" s="1"/>
  <c r="J37" i="14"/>
  <c r="J38" i="14"/>
  <c r="J39" i="14"/>
  <c r="J40" i="14"/>
  <c r="J41" i="14"/>
  <c r="J42" i="14"/>
  <c r="K42" i="14" s="1"/>
  <c r="L42" i="14" s="1"/>
  <c r="J43" i="14"/>
  <c r="J44" i="14"/>
  <c r="K44" i="14" s="1"/>
  <c r="L44" i="14" s="1"/>
  <c r="J45" i="14"/>
  <c r="J46" i="14"/>
  <c r="J47" i="14"/>
  <c r="J48" i="14"/>
  <c r="J49" i="14"/>
  <c r="J50" i="14"/>
  <c r="K50" i="14" s="1"/>
  <c r="L50" i="14" s="1"/>
  <c r="J51" i="14"/>
  <c r="J52" i="14"/>
  <c r="K52" i="14" s="1"/>
  <c r="L52" i="14" s="1"/>
  <c r="J53" i="14"/>
  <c r="J54" i="14"/>
  <c r="J55" i="14"/>
  <c r="J56" i="14"/>
  <c r="J57" i="14"/>
  <c r="J58" i="14"/>
  <c r="K58" i="14" s="1"/>
  <c r="L58" i="14" s="1"/>
  <c r="J59" i="14"/>
  <c r="J60" i="14"/>
  <c r="K60" i="14" s="1"/>
  <c r="L60" i="14" s="1"/>
  <c r="J61" i="14"/>
  <c r="H3" i="14"/>
  <c r="K3" i="14" s="1"/>
  <c r="L3" i="14" s="1"/>
  <c r="H4" i="14"/>
  <c r="H5" i="14"/>
  <c r="H6" i="14"/>
  <c r="K6" i="14" s="1"/>
  <c r="L6" i="14" s="1"/>
  <c r="H7" i="14"/>
  <c r="H8" i="14"/>
  <c r="H9" i="14"/>
  <c r="K9" i="14" s="1"/>
  <c r="L9" i="14" s="1"/>
  <c r="H10" i="14"/>
  <c r="H11" i="14"/>
  <c r="K11" i="14" s="1"/>
  <c r="L11" i="14" s="1"/>
  <c r="H12" i="14"/>
  <c r="H13" i="14"/>
  <c r="H14" i="14"/>
  <c r="K14" i="14" s="1"/>
  <c r="L14" i="14" s="1"/>
  <c r="H15" i="14"/>
  <c r="H16" i="14"/>
  <c r="H17" i="14"/>
  <c r="K17" i="14" s="1"/>
  <c r="L17" i="14" s="1"/>
  <c r="H18" i="14"/>
  <c r="H19" i="14"/>
  <c r="K19" i="14" s="1"/>
  <c r="L19" i="14" s="1"/>
  <c r="H20" i="14"/>
  <c r="H21" i="14"/>
  <c r="H22" i="14"/>
  <c r="K22" i="14" s="1"/>
  <c r="L22" i="14" s="1"/>
  <c r="H23" i="14"/>
  <c r="H24" i="14"/>
  <c r="H25" i="14"/>
  <c r="K25" i="14" s="1"/>
  <c r="L25" i="14" s="1"/>
  <c r="H26" i="14"/>
  <c r="H27" i="14"/>
  <c r="K27" i="14" s="1"/>
  <c r="L27" i="14" s="1"/>
  <c r="H28" i="14"/>
  <c r="H29" i="14"/>
  <c r="H30" i="14"/>
  <c r="K30" i="14" s="1"/>
  <c r="L30" i="14" s="1"/>
  <c r="H31" i="14"/>
  <c r="H32" i="14"/>
  <c r="H33" i="14"/>
  <c r="K33" i="14" s="1"/>
  <c r="L33" i="14" s="1"/>
  <c r="H34" i="14"/>
  <c r="H35" i="14"/>
  <c r="K35" i="14" s="1"/>
  <c r="L35" i="14" s="1"/>
  <c r="H36" i="14"/>
  <c r="H37" i="14"/>
  <c r="H38" i="14"/>
  <c r="K38" i="14" s="1"/>
  <c r="L38" i="14" s="1"/>
  <c r="H39" i="14"/>
  <c r="H40" i="14"/>
  <c r="H41" i="14"/>
  <c r="K41" i="14" s="1"/>
  <c r="L41" i="14" s="1"/>
  <c r="H42" i="14"/>
  <c r="H43" i="14"/>
  <c r="K43" i="14" s="1"/>
  <c r="L43" i="14" s="1"/>
  <c r="H44" i="14"/>
  <c r="H45" i="14"/>
  <c r="H46" i="14"/>
  <c r="K46" i="14" s="1"/>
  <c r="L46" i="14" s="1"/>
  <c r="H47" i="14"/>
  <c r="H48" i="14"/>
  <c r="H49" i="14"/>
  <c r="K49" i="14" s="1"/>
  <c r="L49" i="14" s="1"/>
  <c r="H50" i="14"/>
  <c r="H51" i="14"/>
  <c r="K51" i="14" s="1"/>
  <c r="L51" i="14" s="1"/>
  <c r="H52" i="14"/>
  <c r="H53" i="14"/>
  <c r="H54" i="14"/>
  <c r="K54" i="14" s="1"/>
  <c r="L54" i="14" s="1"/>
  <c r="H55" i="14"/>
  <c r="H56" i="14"/>
  <c r="H57" i="14"/>
  <c r="K57" i="14" s="1"/>
  <c r="L57" i="14" s="1"/>
  <c r="H58" i="14"/>
  <c r="H59" i="14"/>
  <c r="K59" i="14" s="1"/>
  <c r="L59" i="14" s="1"/>
  <c r="H60" i="14"/>
  <c r="H61" i="14"/>
  <c r="F147" i="2"/>
  <c r="E145" i="2"/>
  <c r="I144" i="2"/>
  <c r="H144" i="2"/>
  <c r="G144" i="2"/>
  <c r="F144" i="2"/>
  <c r="E144" i="2"/>
  <c r="G143" i="2"/>
  <c r="F143" i="2"/>
  <c r="I143" i="2" s="1"/>
  <c r="E143" i="2"/>
  <c r="H143" i="2" s="1"/>
  <c r="E142" i="2"/>
  <c r="H142" i="2" s="1"/>
  <c r="H141" i="2"/>
  <c r="G141" i="2"/>
  <c r="F141" i="2"/>
  <c r="I141" i="2" s="1"/>
  <c r="E141" i="2"/>
  <c r="E140" i="2"/>
  <c r="I139" i="2"/>
  <c r="H139" i="2"/>
  <c r="G139" i="2"/>
  <c r="F139" i="2"/>
  <c r="E139" i="2"/>
  <c r="H138" i="2"/>
  <c r="E138" i="2"/>
  <c r="G138" i="2" s="1"/>
  <c r="E137" i="2"/>
  <c r="I136" i="2"/>
  <c r="H136" i="2"/>
  <c r="G136" i="2"/>
  <c r="F136" i="2"/>
  <c r="E136" i="2"/>
  <c r="E135" i="2"/>
  <c r="H135" i="2" s="1"/>
  <c r="E134" i="2"/>
  <c r="H134" i="2" s="1"/>
  <c r="I133" i="2"/>
  <c r="H133" i="2"/>
  <c r="G133" i="2"/>
  <c r="F133" i="2"/>
  <c r="E133" i="2"/>
  <c r="E132" i="2"/>
  <c r="I131" i="2"/>
  <c r="H131" i="2"/>
  <c r="G131" i="2"/>
  <c r="F131" i="2"/>
  <c r="E131" i="2"/>
  <c r="E130" i="2"/>
  <c r="G130" i="2" s="1"/>
  <c r="E129" i="2"/>
  <c r="I128" i="2"/>
  <c r="H128" i="2"/>
  <c r="G128" i="2"/>
  <c r="F128" i="2"/>
  <c r="E128" i="2"/>
  <c r="E127" i="2"/>
  <c r="H127" i="2" s="1"/>
  <c r="E126" i="2"/>
  <c r="H126" i="2" s="1"/>
  <c r="H125" i="2"/>
  <c r="G125" i="2"/>
  <c r="F125" i="2"/>
  <c r="I125" i="2" s="1"/>
  <c r="E125" i="2"/>
  <c r="E124" i="2"/>
  <c r="I123" i="2"/>
  <c r="H123" i="2"/>
  <c r="G123" i="2"/>
  <c r="F123" i="2"/>
  <c r="E123" i="2"/>
  <c r="H122" i="2"/>
  <c r="G122" i="2"/>
  <c r="F122" i="2"/>
  <c r="I122" i="2" s="1"/>
  <c r="E122" i="2"/>
  <c r="E121" i="2"/>
  <c r="I120" i="2"/>
  <c r="H120" i="2"/>
  <c r="G120" i="2"/>
  <c r="F120" i="2"/>
  <c r="E120" i="2"/>
  <c r="G119" i="2"/>
  <c r="E119" i="2"/>
  <c r="H119" i="2" s="1"/>
  <c r="E118" i="2"/>
  <c r="H118" i="2" s="1"/>
  <c r="H117" i="2"/>
  <c r="G117" i="2"/>
  <c r="F117" i="2"/>
  <c r="I117" i="2" s="1"/>
  <c r="E117" i="2"/>
  <c r="E116" i="2"/>
  <c r="H115" i="2"/>
  <c r="G115" i="2"/>
  <c r="E115" i="2"/>
  <c r="F115" i="2" s="1"/>
  <c r="I115" i="2" s="1"/>
  <c r="H114" i="2"/>
  <c r="E114" i="2"/>
  <c r="G114" i="2" s="1"/>
  <c r="E113" i="2"/>
  <c r="I112" i="2"/>
  <c r="H112" i="2"/>
  <c r="G112" i="2"/>
  <c r="F112" i="2"/>
  <c r="E112" i="2"/>
  <c r="E111" i="2"/>
  <c r="H111" i="2" s="1"/>
  <c r="E110" i="2"/>
  <c r="H110" i="2" s="1"/>
  <c r="I109" i="2"/>
  <c r="H109" i="2"/>
  <c r="G109" i="2"/>
  <c r="F109" i="2"/>
  <c r="E109" i="2"/>
  <c r="E108" i="2"/>
  <c r="F108" i="2" s="1"/>
  <c r="I108" i="2" s="1"/>
  <c r="I107" i="2"/>
  <c r="H107" i="2"/>
  <c r="G107" i="2"/>
  <c r="E107" i="2"/>
  <c r="F107" i="2" s="1"/>
  <c r="E106" i="2"/>
  <c r="H106" i="2" s="1"/>
  <c r="E105" i="2"/>
  <c r="I104" i="2"/>
  <c r="H104" i="2"/>
  <c r="G104" i="2"/>
  <c r="F104" i="2"/>
  <c r="E104" i="2"/>
  <c r="E103" i="2"/>
  <c r="H103" i="2" s="1"/>
  <c r="E102" i="2"/>
  <c r="H102" i="2" s="1"/>
  <c r="H101" i="2"/>
  <c r="G101" i="2"/>
  <c r="F101" i="2"/>
  <c r="I101" i="2" s="1"/>
  <c r="E101" i="2"/>
  <c r="E100" i="2"/>
  <c r="F100" i="2" s="1"/>
  <c r="I100" i="2" s="1"/>
  <c r="I99" i="2"/>
  <c r="H99" i="2"/>
  <c r="G99" i="2"/>
  <c r="E99" i="2"/>
  <c r="F99" i="2" s="1"/>
  <c r="E98" i="2"/>
  <c r="F98" i="2" s="1"/>
  <c r="I98" i="2" s="1"/>
  <c r="E97" i="2"/>
  <c r="I96" i="2"/>
  <c r="H96" i="2"/>
  <c r="G96" i="2"/>
  <c r="F96" i="2"/>
  <c r="E96" i="2"/>
  <c r="E95" i="2"/>
  <c r="H95" i="2" s="1"/>
  <c r="E94" i="2"/>
  <c r="H94" i="2" s="1"/>
  <c r="H93" i="2"/>
  <c r="G93" i="2"/>
  <c r="F93" i="2"/>
  <c r="I93" i="2" s="1"/>
  <c r="E93" i="2"/>
  <c r="F92" i="2"/>
  <c r="I92" i="2" s="1"/>
  <c r="E92" i="2"/>
  <c r="H91" i="2"/>
  <c r="G91" i="2"/>
  <c r="E91" i="2"/>
  <c r="F91" i="2" s="1"/>
  <c r="I91" i="2" s="1"/>
  <c r="H90" i="2"/>
  <c r="G90" i="2"/>
  <c r="F90" i="2"/>
  <c r="I90" i="2" s="1"/>
  <c r="E90" i="2"/>
  <c r="E89" i="2"/>
  <c r="I88" i="2"/>
  <c r="H88" i="2"/>
  <c r="G88" i="2"/>
  <c r="F88" i="2"/>
  <c r="E88" i="2"/>
  <c r="E87" i="2"/>
  <c r="H87" i="2" s="1"/>
  <c r="E86" i="2"/>
  <c r="I85" i="2"/>
  <c r="H85" i="2"/>
  <c r="G85" i="2"/>
  <c r="F85" i="2"/>
  <c r="E85" i="2"/>
  <c r="E84" i="2"/>
  <c r="H84" i="2" s="1"/>
  <c r="I83" i="2"/>
  <c r="H83" i="2"/>
  <c r="G83" i="2"/>
  <c r="E83" i="2"/>
  <c r="F83" i="2" s="1"/>
  <c r="E82" i="2"/>
  <c r="F82" i="2" s="1"/>
  <c r="I82" i="2" s="1"/>
  <c r="F81" i="2"/>
  <c r="I81" i="2" s="1"/>
  <c r="E81" i="2"/>
  <c r="I80" i="2"/>
  <c r="H80" i="2"/>
  <c r="G80" i="2"/>
  <c r="F80" i="2"/>
  <c r="E80" i="2"/>
  <c r="H79" i="2"/>
  <c r="G79" i="2"/>
  <c r="E79" i="2"/>
  <c r="F79" i="2" s="1"/>
  <c r="I79" i="2" s="1"/>
  <c r="E78" i="2"/>
  <c r="H77" i="2"/>
  <c r="G77" i="2"/>
  <c r="F77" i="2"/>
  <c r="I77" i="2" s="1"/>
  <c r="E77" i="2"/>
  <c r="E76" i="2"/>
  <c r="H76" i="2" s="1"/>
  <c r="H75" i="2"/>
  <c r="G75" i="2"/>
  <c r="E75" i="2"/>
  <c r="F75" i="2" s="1"/>
  <c r="I75" i="2" s="1"/>
  <c r="E74" i="2"/>
  <c r="H74" i="2" s="1"/>
  <c r="E73" i="2"/>
  <c r="F73" i="2" s="1"/>
  <c r="I73" i="2" s="1"/>
  <c r="I72" i="2"/>
  <c r="H72" i="2"/>
  <c r="G72" i="2"/>
  <c r="F72" i="2"/>
  <c r="E72" i="2"/>
  <c r="E71" i="2"/>
  <c r="F71" i="2" s="1"/>
  <c r="I71" i="2" s="1"/>
  <c r="E70" i="2"/>
  <c r="H69" i="2"/>
  <c r="G69" i="2"/>
  <c r="F69" i="2"/>
  <c r="I69" i="2" s="1"/>
  <c r="E69" i="2"/>
  <c r="G68" i="2"/>
  <c r="E68" i="2"/>
  <c r="H68" i="2" s="1"/>
  <c r="H67" i="2"/>
  <c r="G67" i="2"/>
  <c r="E67" i="2"/>
  <c r="F67" i="2" s="1"/>
  <c r="I67" i="2" s="1"/>
  <c r="H66" i="2"/>
  <c r="E66" i="2"/>
  <c r="G66" i="2" s="1"/>
  <c r="E65" i="2"/>
  <c r="I64" i="2"/>
  <c r="H64" i="2"/>
  <c r="G64" i="2"/>
  <c r="F64" i="2"/>
  <c r="E64" i="2"/>
  <c r="E63" i="2"/>
  <c r="G63" i="2" s="1"/>
  <c r="E62" i="2"/>
  <c r="H61" i="2"/>
  <c r="G61" i="2"/>
  <c r="F61" i="2"/>
  <c r="I61" i="2" s="1"/>
  <c r="E61" i="2"/>
  <c r="E60" i="2"/>
  <c r="H60" i="2" s="1"/>
  <c r="H59" i="2"/>
  <c r="G59" i="2"/>
  <c r="E59" i="2"/>
  <c r="F59" i="2" s="1"/>
  <c r="I59" i="2" s="1"/>
  <c r="H58" i="2"/>
  <c r="G58" i="2"/>
  <c r="F58" i="2"/>
  <c r="I58" i="2" s="1"/>
  <c r="E58" i="2"/>
  <c r="E57" i="2"/>
  <c r="I56" i="2"/>
  <c r="H56" i="2"/>
  <c r="G56" i="2"/>
  <c r="F56" i="2"/>
  <c r="E56" i="2"/>
  <c r="E55" i="2"/>
  <c r="H55" i="2" s="1"/>
  <c r="E54" i="2"/>
  <c r="I53" i="2"/>
  <c r="H53" i="2"/>
  <c r="G53" i="2"/>
  <c r="F53" i="2"/>
  <c r="E53" i="2"/>
  <c r="E52" i="2"/>
  <c r="H52" i="2" s="1"/>
  <c r="I51" i="2"/>
  <c r="H51" i="2"/>
  <c r="G51" i="2"/>
  <c r="E51" i="2"/>
  <c r="F51" i="2" s="1"/>
  <c r="E50" i="2"/>
  <c r="H50" i="2" s="1"/>
  <c r="F49" i="2"/>
  <c r="I49" i="2" s="1"/>
  <c r="E49" i="2"/>
  <c r="I48" i="2"/>
  <c r="H48" i="2"/>
  <c r="G48" i="2"/>
  <c r="F48" i="2"/>
  <c r="E48" i="2"/>
  <c r="H47" i="2"/>
  <c r="G47" i="2"/>
  <c r="E47" i="2"/>
  <c r="F47" i="2" s="1"/>
  <c r="I47" i="2" s="1"/>
  <c r="E46" i="2"/>
  <c r="H45" i="2"/>
  <c r="G45" i="2"/>
  <c r="E45" i="2"/>
  <c r="F45" i="2" s="1"/>
  <c r="I45" i="2" s="1"/>
  <c r="E44" i="2"/>
  <c r="H44" i="2" s="1"/>
  <c r="I43" i="2"/>
  <c r="H43" i="2"/>
  <c r="G43" i="2"/>
  <c r="E43" i="2"/>
  <c r="F43" i="2" s="1"/>
  <c r="E42" i="2"/>
  <c r="G42" i="2" s="1"/>
  <c r="F41" i="2"/>
  <c r="I41" i="2" s="1"/>
  <c r="E41" i="2"/>
  <c r="H40" i="2"/>
  <c r="G40" i="2"/>
  <c r="F40" i="2"/>
  <c r="I40" i="2" s="1"/>
  <c r="E40" i="2"/>
  <c r="H39" i="2"/>
  <c r="G39" i="2"/>
  <c r="E39" i="2"/>
  <c r="F39" i="2" s="1"/>
  <c r="I39" i="2" s="1"/>
  <c r="E38" i="2"/>
  <c r="H38" i="2" s="1"/>
  <c r="H37" i="2"/>
  <c r="G37" i="2"/>
  <c r="E37" i="2"/>
  <c r="F37" i="2" s="1"/>
  <c r="I37" i="2" s="1"/>
  <c r="E36" i="2"/>
  <c r="H36" i="2" s="1"/>
  <c r="I35" i="2"/>
  <c r="H35" i="2"/>
  <c r="G35" i="2"/>
  <c r="E35" i="2"/>
  <c r="F35" i="2" s="1"/>
  <c r="E34" i="2"/>
  <c r="G34" i="2" s="1"/>
  <c r="F33" i="2"/>
  <c r="I33" i="2" s="1"/>
  <c r="E33" i="2"/>
  <c r="H32" i="2"/>
  <c r="G32" i="2"/>
  <c r="F32" i="2"/>
  <c r="I32" i="2" s="1"/>
  <c r="E32" i="2"/>
  <c r="H31" i="2"/>
  <c r="G31" i="2"/>
  <c r="E31" i="2"/>
  <c r="F31" i="2" s="1"/>
  <c r="I31" i="2" s="1"/>
  <c r="E30" i="2"/>
  <c r="H30" i="2" s="1"/>
  <c r="H29" i="2"/>
  <c r="G29" i="2"/>
  <c r="E29" i="2"/>
  <c r="F29" i="2" s="1"/>
  <c r="I29" i="2" s="1"/>
  <c r="E28" i="2"/>
  <c r="H28" i="2" s="1"/>
  <c r="I27" i="2"/>
  <c r="H27" i="2"/>
  <c r="G27" i="2"/>
  <c r="E27" i="2"/>
  <c r="F27" i="2" s="1"/>
  <c r="E26" i="2"/>
  <c r="G26" i="2" s="1"/>
  <c r="F25" i="2"/>
  <c r="I25" i="2" s="1"/>
  <c r="E25" i="2"/>
  <c r="H24" i="2"/>
  <c r="G24" i="2"/>
  <c r="F24" i="2"/>
  <c r="I24" i="2" s="1"/>
  <c r="E24" i="2"/>
  <c r="H23" i="2"/>
  <c r="G23" i="2"/>
  <c r="E23" i="2"/>
  <c r="F23" i="2" s="1"/>
  <c r="I23" i="2" s="1"/>
  <c r="E22" i="2"/>
  <c r="H22" i="2" s="1"/>
  <c r="H21" i="2"/>
  <c r="G21" i="2"/>
  <c r="E21" i="2"/>
  <c r="F21" i="2" s="1"/>
  <c r="I21" i="2" s="1"/>
  <c r="E20" i="2"/>
  <c r="H20" i="2" s="1"/>
  <c r="I19" i="2"/>
  <c r="H19" i="2"/>
  <c r="G19" i="2"/>
  <c r="E19" i="2"/>
  <c r="F19" i="2" s="1"/>
  <c r="E18" i="2"/>
  <c r="G18" i="2" s="1"/>
  <c r="F17" i="2"/>
  <c r="I17" i="2" s="1"/>
  <c r="E17" i="2"/>
  <c r="H16" i="2"/>
  <c r="G16" i="2"/>
  <c r="F16" i="2"/>
  <c r="I16" i="2" s="1"/>
  <c r="E16" i="2"/>
  <c r="H15" i="2"/>
  <c r="G15" i="2"/>
  <c r="E15" i="2"/>
  <c r="F15" i="2" s="1"/>
  <c r="I15" i="2" s="1"/>
  <c r="E14" i="2"/>
  <c r="H13" i="2"/>
  <c r="G13" i="2"/>
  <c r="E13" i="2"/>
  <c r="F13" i="2" s="1"/>
  <c r="I13" i="2" s="1"/>
  <c r="E12" i="2"/>
  <c r="H12" i="2" s="1"/>
  <c r="I11" i="2"/>
  <c r="H11" i="2"/>
  <c r="G11" i="2"/>
  <c r="E11" i="2"/>
  <c r="F11" i="2" s="1"/>
  <c r="E10" i="2"/>
  <c r="G10" i="2" s="1"/>
  <c r="F9" i="2"/>
  <c r="I9" i="2" s="1"/>
  <c r="E9" i="2"/>
  <c r="H8" i="2"/>
  <c r="G8" i="2"/>
  <c r="F8" i="2"/>
  <c r="I8" i="2" s="1"/>
  <c r="E8" i="2"/>
  <c r="H7" i="2"/>
  <c r="G7" i="2"/>
  <c r="E7" i="2"/>
  <c r="F7" i="2" s="1"/>
  <c r="I7" i="2" s="1"/>
  <c r="E6" i="2"/>
  <c r="H5" i="2"/>
  <c r="G5" i="2"/>
  <c r="E5" i="2"/>
  <c r="F5" i="2" s="1"/>
  <c r="I5" i="2" s="1"/>
  <c r="E4" i="2"/>
  <c r="H4" i="2" s="1"/>
  <c r="I3" i="2"/>
  <c r="H3" i="2"/>
  <c r="G3" i="2"/>
  <c r="E3" i="2"/>
  <c r="F3" i="2" s="1"/>
  <c r="H2" i="2"/>
  <c r="G2" i="2"/>
  <c r="F2" i="2"/>
  <c r="I2" i="2" s="1"/>
  <c r="E2" i="2"/>
  <c r="G3" i="11" l="1"/>
  <c r="H3" i="11" s="1"/>
  <c r="I3" i="11" s="1"/>
  <c r="E3" i="10"/>
  <c r="F3" i="11"/>
  <c r="G2" i="11"/>
  <c r="B2" i="11"/>
  <c r="B3" i="10"/>
  <c r="D3" i="10" s="1"/>
  <c r="G3" i="10" s="1"/>
  <c r="B4" i="10"/>
  <c r="D4" i="10" s="1"/>
  <c r="C4" i="11"/>
  <c r="D4" i="11" s="1"/>
  <c r="E4" i="11" s="1"/>
  <c r="C2" i="11"/>
  <c r="F4" i="11"/>
  <c r="F2" i="11"/>
  <c r="G4" i="11"/>
  <c r="C4" i="10"/>
  <c r="E4" i="10" s="1"/>
  <c r="B2" i="10"/>
  <c r="C2" i="10"/>
  <c r="E2" i="10" s="1"/>
  <c r="C3" i="11"/>
  <c r="B3" i="11"/>
  <c r="K2" i="14"/>
  <c r="L2" i="14" s="1"/>
  <c r="H62" i="2"/>
  <c r="G62" i="2"/>
  <c r="F62" i="2"/>
  <c r="I62" i="2" s="1"/>
  <c r="H97" i="2"/>
  <c r="G97" i="2"/>
  <c r="F97" i="2"/>
  <c r="I97" i="2" s="1"/>
  <c r="F50" i="2"/>
  <c r="I50" i="2" s="1"/>
  <c r="G71" i="2"/>
  <c r="H86" i="2"/>
  <c r="G86" i="2"/>
  <c r="F86" i="2"/>
  <c r="I86" i="2" s="1"/>
  <c r="H105" i="2"/>
  <c r="F105" i="2"/>
  <c r="I105" i="2" s="1"/>
  <c r="G105" i="2"/>
  <c r="G6" i="2"/>
  <c r="F6" i="2"/>
  <c r="I6" i="2" s="1"/>
  <c r="F10" i="2"/>
  <c r="I10" i="2" s="1"/>
  <c r="F26" i="2"/>
  <c r="I26" i="2" s="1"/>
  <c r="G46" i="2"/>
  <c r="F46" i="2"/>
  <c r="I46" i="2" s="1"/>
  <c r="G50" i="2"/>
  <c r="F52" i="2"/>
  <c r="I52" i="2" s="1"/>
  <c r="F63" i="2"/>
  <c r="I63" i="2" s="1"/>
  <c r="G82" i="2"/>
  <c r="G98" i="2"/>
  <c r="F103" i="2"/>
  <c r="I103" i="2" s="1"/>
  <c r="F12" i="2"/>
  <c r="I12" i="2" s="1"/>
  <c r="F20" i="2"/>
  <c r="I20" i="2" s="1"/>
  <c r="F36" i="2"/>
  <c r="I36" i="2" s="1"/>
  <c r="H78" i="2"/>
  <c r="G78" i="2"/>
  <c r="F78" i="2"/>
  <c r="I78" i="2" s="1"/>
  <c r="H82" i="2"/>
  <c r="H98" i="2"/>
  <c r="G103" i="2"/>
  <c r="F106" i="2"/>
  <c r="I106" i="2" s="1"/>
  <c r="H137" i="2"/>
  <c r="F137" i="2"/>
  <c r="I137" i="2" s="1"/>
  <c r="G137" i="2"/>
  <c r="G4" i="2"/>
  <c r="H10" i="2"/>
  <c r="H18" i="2"/>
  <c r="H26" i="2"/>
  <c r="H34" i="2"/>
  <c r="G36" i="2"/>
  <c r="H42" i="2"/>
  <c r="G44" i="2"/>
  <c r="F55" i="2"/>
  <c r="I55" i="2" s="1"/>
  <c r="H57" i="2"/>
  <c r="G57" i="2"/>
  <c r="H63" i="2"/>
  <c r="G74" i="2"/>
  <c r="F76" i="2"/>
  <c r="I76" i="2" s="1"/>
  <c r="F87" i="2"/>
  <c r="I87" i="2" s="1"/>
  <c r="H89" i="2"/>
  <c r="G89" i="2"/>
  <c r="G106" i="2"/>
  <c r="F111" i="2"/>
  <c r="I111" i="2" s="1"/>
  <c r="H116" i="2"/>
  <c r="G116" i="2"/>
  <c r="H130" i="2"/>
  <c r="F135" i="2"/>
  <c r="I135" i="2" s="1"/>
  <c r="G124" i="2"/>
  <c r="H124" i="2"/>
  <c r="H73" i="2"/>
  <c r="G73" i="2"/>
  <c r="F95" i="2"/>
  <c r="I95" i="2" s="1"/>
  <c r="F124" i="2"/>
  <c r="I124" i="2" s="1"/>
  <c r="H54" i="2"/>
  <c r="G54" i="2"/>
  <c r="F54" i="2"/>
  <c r="I54" i="2" s="1"/>
  <c r="G95" i="2"/>
  <c r="F18" i="2"/>
  <c r="I18" i="2" s="1"/>
  <c r="G38" i="2"/>
  <c r="F38" i="2"/>
  <c r="I38" i="2" s="1"/>
  <c r="F42" i="2"/>
  <c r="I42" i="2" s="1"/>
  <c r="H65" i="2"/>
  <c r="G65" i="2"/>
  <c r="H71" i="2"/>
  <c r="F84" i="2"/>
  <c r="I84" i="2" s="1"/>
  <c r="H132" i="2"/>
  <c r="G132" i="2"/>
  <c r="H6" i="2"/>
  <c r="F65" i="2"/>
  <c r="I65" i="2" s="1"/>
  <c r="F74" i="2"/>
  <c r="I74" i="2" s="1"/>
  <c r="H113" i="2"/>
  <c r="G113" i="2"/>
  <c r="F113" i="2"/>
  <c r="I113" i="2" s="1"/>
  <c r="G20" i="2"/>
  <c r="G55" i="2"/>
  <c r="F57" i="2"/>
  <c r="I57" i="2" s="1"/>
  <c r="F66" i="2"/>
  <c r="I66" i="2" s="1"/>
  <c r="H70" i="2"/>
  <c r="G70" i="2"/>
  <c r="F70" i="2"/>
  <c r="I70" i="2" s="1"/>
  <c r="G76" i="2"/>
  <c r="G87" i="2"/>
  <c r="F89" i="2"/>
  <c r="I89" i="2" s="1"/>
  <c r="G111" i="2"/>
  <c r="F114" i="2"/>
  <c r="I114" i="2" s="1"/>
  <c r="F116" i="2"/>
  <c r="I116" i="2" s="1"/>
  <c r="H121" i="2"/>
  <c r="F121" i="2"/>
  <c r="I121" i="2" s="1"/>
  <c r="G121" i="2"/>
  <c r="G135" i="2"/>
  <c r="F138" i="2"/>
  <c r="I138" i="2" s="1"/>
  <c r="G140" i="2"/>
  <c r="H140" i="2"/>
  <c r="F60" i="2"/>
  <c r="I60" i="2" s="1"/>
  <c r="H100" i="2"/>
  <c r="G100" i="2"/>
  <c r="H129" i="2"/>
  <c r="G129" i="2"/>
  <c r="F129" i="2"/>
  <c r="I129" i="2" s="1"/>
  <c r="G60" i="2"/>
  <c r="F127" i="2"/>
  <c r="I127" i="2" s="1"/>
  <c r="G14" i="2"/>
  <c r="F14" i="2"/>
  <c r="I14" i="2" s="1"/>
  <c r="G22" i="2"/>
  <c r="F22" i="2"/>
  <c r="I22" i="2" s="1"/>
  <c r="G30" i="2"/>
  <c r="F30" i="2"/>
  <c r="I30" i="2" s="1"/>
  <c r="F34" i="2"/>
  <c r="I34" i="2" s="1"/>
  <c r="G108" i="2"/>
  <c r="H108" i="2"/>
  <c r="G127" i="2"/>
  <c r="F130" i="2"/>
  <c r="I130" i="2" s="1"/>
  <c r="F4" i="2"/>
  <c r="I4" i="2" s="1"/>
  <c r="H14" i="2"/>
  <c r="F28" i="2"/>
  <c r="I28" i="2" s="1"/>
  <c r="F44" i="2"/>
  <c r="I44" i="2" s="1"/>
  <c r="H46" i="2"/>
  <c r="G52" i="2"/>
  <c r="G84" i="2"/>
  <c r="F132" i="2"/>
  <c r="I132" i="2" s="1"/>
  <c r="G12" i="2"/>
  <c r="G28" i="2"/>
  <c r="H9" i="2"/>
  <c r="G9" i="2"/>
  <c r="H17" i="2"/>
  <c r="G17" i="2"/>
  <c r="H25" i="2"/>
  <c r="G25" i="2"/>
  <c r="H33" i="2"/>
  <c r="G33" i="2"/>
  <c r="H41" i="2"/>
  <c r="G41" i="2"/>
  <c r="H49" i="2"/>
  <c r="G49" i="2"/>
  <c r="F68" i="2"/>
  <c r="I68" i="2" s="1"/>
  <c r="H81" i="2"/>
  <c r="G81" i="2"/>
  <c r="G92" i="2"/>
  <c r="H92" i="2"/>
  <c r="F119" i="2"/>
  <c r="I119" i="2" s="1"/>
  <c r="F140" i="2"/>
  <c r="I140" i="2" s="1"/>
  <c r="H145" i="2"/>
  <c r="F145" i="2"/>
  <c r="I145" i="2" s="1"/>
  <c r="G145" i="2"/>
  <c r="F94" i="2"/>
  <c r="I94" i="2" s="1"/>
  <c r="F102" i="2"/>
  <c r="I102" i="2" s="1"/>
  <c r="F110" i="2"/>
  <c r="I110" i="2" s="1"/>
  <c r="F118" i="2"/>
  <c r="I118" i="2" s="1"/>
  <c r="F126" i="2"/>
  <c r="I126" i="2" s="1"/>
  <c r="F134" i="2"/>
  <c r="I134" i="2" s="1"/>
  <c r="F142" i="2"/>
  <c r="I142" i="2" s="1"/>
  <c r="G94" i="2"/>
  <c r="G102" i="2"/>
  <c r="G110" i="2"/>
  <c r="G118" i="2"/>
  <c r="G126" i="2"/>
  <c r="G134" i="2"/>
  <c r="G142" i="2"/>
  <c r="D2" i="11" l="1"/>
  <c r="E2" i="11" s="1"/>
  <c r="H3" i="10"/>
  <c r="F3" i="10"/>
  <c r="I3" i="10" s="1"/>
  <c r="J4" i="10"/>
  <c r="L4" i="10" s="1"/>
  <c r="G4" i="10"/>
  <c r="H2" i="11"/>
  <c r="I2" i="11" s="1"/>
  <c r="D3" i="11"/>
  <c r="E3" i="11" s="1"/>
  <c r="K3" i="11" s="1"/>
  <c r="H4" i="11"/>
  <c r="J4" i="11" s="1"/>
  <c r="J3" i="10"/>
  <c r="L3" i="10" s="1"/>
  <c r="K4" i="10"/>
  <c r="M4" i="10" s="1"/>
  <c r="D2" i="10"/>
  <c r="G2" i="10" s="1"/>
  <c r="F4" i="10"/>
  <c r="K2" i="10"/>
  <c r="M2" i="10" s="1"/>
  <c r="J2" i="10"/>
  <c r="L2" i="10" s="1"/>
  <c r="H4" i="10"/>
  <c r="K3" i="10"/>
  <c r="M3" i="10" s="1"/>
  <c r="K2" i="11" l="1"/>
  <c r="N4" i="10"/>
  <c r="J2" i="11"/>
  <c r="N3" i="10"/>
  <c r="J3" i="11"/>
  <c r="I4" i="11"/>
  <c r="K4" i="11" s="1"/>
  <c r="I4" i="10"/>
  <c r="N2" i="10"/>
  <c r="F2" i="10"/>
  <c r="O2" i="10"/>
  <c r="O3" i="10" s="1"/>
  <c r="H2" i="10"/>
  <c r="O4" i="10" l="1"/>
  <c r="O5" i="10" s="1"/>
  <c r="I2" i="1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<sst xmlns="http://schemas.openxmlformats.org/spreadsheetml/2006/main" count="1745" uniqueCount="258">
  <si>
    <t>Mois</t>
  </si>
  <si>
    <t>N_Mois</t>
  </si>
  <si>
    <t>Région</t>
  </si>
  <si>
    <t>Produit</t>
  </si>
  <si>
    <t>Volume_Budget</t>
  </si>
  <si>
    <t>CA_Budget</t>
  </si>
  <si>
    <t>Volume_Base</t>
  </si>
  <si>
    <t>Prix_Unitaire</t>
  </si>
  <si>
    <t>Coût_Unitaire</t>
  </si>
  <si>
    <t>Facteur</t>
  </si>
  <si>
    <t>Poids</t>
  </si>
  <si>
    <t>composants</t>
  </si>
  <si>
    <t>Equipements</t>
  </si>
  <si>
    <t>Services</t>
  </si>
  <si>
    <t xml:space="preserve">Janvier </t>
  </si>
  <si>
    <t xml:space="preserve">Février </t>
  </si>
  <si>
    <t xml:space="preserve">Mars </t>
  </si>
  <si>
    <t>Avril</t>
  </si>
  <si>
    <t>Mai</t>
  </si>
  <si>
    <t>Juin</t>
  </si>
  <si>
    <t>Juillet</t>
  </si>
  <si>
    <t xml:space="preserve">Août </t>
  </si>
  <si>
    <t xml:space="preserve">Septembre </t>
  </si>
  <si>
    <t xml:space="preserve">Octobre </t>
  </si>
  <si>
    <t xml:space="preserve">Novembre </t>
  </si>
  <si>
    <t>Décembre</t>
  </si>
  <si>
    <t>IDF</t>
  </si>
  <si>
    <t>Nord</t>
  </si>
  <si>
    <t>Sud</t>
  </si>
  <si>
    <t>Export</t>
  </si>
  <si>
    <t>Coût Matières</t>
  </si>
  <si>
    <t>Coût Main d'Œuvre</t>
  </si>
  <si>
    <t>Charges Fixes</t>
  </si>
  <si>
    <t>Row Labels</t>
  </si>
  <si>
    <t>Grand Total</t>
  </si>
  <si>
    <t>Column Labels</t>
  </si>
  <si>
    <t>(All)</t>
  </si>
  <si>
    <t>CA_Reel</t>
  </si>
  <si>
    <t>Volume_reel</t>
  </si>
  <si>
    <t>Coût Matières_reel</t>
  </si>
  <si>
    <t>Coût Main d'Œuvre reel</t>
  </si>
  <si>
    <t>Charges Fixes_reel</t>
  </si>
  <si>
    <t>Type</t>
  </si>
  <si>
    <t>Volume</t>
  </si>
  <si>
    <t>CA</t>
  </si>
  <si>
    <t>Cout_Matières</t>
  </si>
  <si>
    <t>Cout_MO</t>
  </si>
  <si>
    <t>Charges fixes</t>
  </si>
  <si>
    <t>budget</t>
  </si>
  <si>
    <t>réel</t>
  </si>
  <si>
    <t>Ecart</t>
  </si>
  <si>
    <t>Ecart %</t>
  </si>
  <si>
    <t>Volume_budget</t>
  </si>
  <si>
    <t>Prix_Budget</t>
  </si>
  <si>
    <t>Prix_Reel</t>
  </si>
  <si>
    <t>Effet_Volume</t>
  </si>
  <si>
    <t>Effet_Prix</t>
  </si>
  <si>
    <t>Ecart_Total_CA</t>
  </si>
  <si>
    <t>Verification</t>
  </si>
  <si>
    <t>Volume_Total_Budget</t>
  </si>
  <si>
    <t>Volume_Total_Reel</t>
  </si>
  <si>
    <t>Part_Budget</t>
  </si>
  <si>
    <t>Part_Reel</t>
  </si>
  <si>
    <t>Effet_Mix</t>
  </si>
  <si>
    <t>Prix_Moyen_Budget_Pondere</t>
  </si>
  <si>
    <t>Couts_Budget</t>
  </si>
  <si>
    <t>Marge_Budget</t>
  </si>
  <si>
    <t>Taux_Budget</t>
  </si>
  <si>
    <t>Couts_Reel</t>
  </si>
  <si>
    <t>Marge_Reel</t>
  </si>
  <si>
    <t>Taux_Reel</t>
  </si>
  <si>
    <t>Ecart_Marge_€</t>
  </si>
  <si>
    <t>Ecart_Taux_pts</t>
  </si>
  <si>
    <t>(Norelec Industries — Analyse Budget vs Réel 2025)</t>
  </si>
  <si>
    <t>1. Constat global</t>
  </si>
  <si>
    <t>2. Alerte n°1 — Rentabilité Composants</t>
  </si>
  <si>
    <r>
      <t xml:space="preserve">→ </t>
    </r>
    <r>
      <rPr>
        <b/>
        <sz val="11"/>
        <color theme="1"/>
        <rFont val="Aptos Narrow"/>
        <family val="2"/>
        <scheme val="minor"/>
      </rPr>
      <t>Recommandation</t>
    </r>
    <r>
      <rPr>
        <sz val="11"/>
        <color theme="1"/>
        <rFont val="Aptos Narrow"/>
        <family val="2"/>
        <scheme val="minor"/>
      </rPr>
      <t xml:space="preserve"> : sécuriser les approvisionnements matières via un contrat-cadre à prix fixe ou une couverture achat, pour limiter l'exposition à la volatilité des prix sur ce trimestre.</t>
    </r>
  </si>
  <si>
    <t>3. Alerte n°2 — Volume Export</t>
  </si>
  <si>
    <r>
      <t xml:space="preserve">→ </t>
    </r>
    <r>
      <rPr>
        <b/>
        <sz val="11"/>
        <color theme="1"/>
        <rFont val="Aptos Narrow"/>
        <family val="2"/>
        <scheme val="minor"/>
      </rPr>
      <t>Recommandation</t>
    </r>
    <r>
      <rPr>
        <sz val="11"/>
        <color theme="1"/>
        <rFont val="Aptos Narrow"/>
        <family val="2"/>
        <scheme val="minor"/>
      </rPr>
      <t xml:space="preserve"> : investiguer la cause opérationnelle précise (perte de distributeur, retard logistique) et évaluer si un plan de relance commercial est nécessaire sur ce marché au T4.</t>
    </r>
  </si>
  <si>
    <t>4. Point de vigilance — Effet mix défavorable</t>
  </si>
  <si>
    <r>
      <t xml:space="preserve">→ </t>
    </r>
    <r>
      <rPr>
        <b/>
        <sz val="11"/>
        <color theme="1"/>
        <rFont val="Aptos Narrow"/>
        <family val="2"/>
        <scheme val="minor"/>
      </rPr>
      <t>Recommandation</t>
    </r>
    <r>
      <rPr>
        <sz val="11"/>
        <color theme="1"/>
        <rFont val="Aptos Narrow"/>
        <family val="2"/>
        <scheme val="minor"/>
      </rPr>
      <t xml:space="preserve"> : suivre le mix produit mensuellement, pas seulement le CA total, pour détecter ce type de glissement plus tôt.</t>
    </r>
  </si>
  <si>
    <t>Client ID</t>
  </si>
  <si>
    <t>Client Name</t>
  </si>
  <si>
    <t>Sector</t>
  </si>
  <si>
    <t>Account  Manager</t>
  </si>
  <si>
    <t>Account size</t>
  </si>
  <si>
    <t>C001</t>
  </si>
  <si>
    <t>Auvergne Automotive Systems</t>
  </si>
  <si>
    <t>Automobile</t>
  </si>
  <si>
    <t>Julien Marchand</t>
  </si>
  <si>
    <t>Grand Compte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</si>
  <si>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</si>
  <si>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</si>
  <si>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</si>
  <si>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</si>
  <si>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</si>
  <si>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</si>
  <si>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</si>
  <si>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</si>
  <si>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</si>
  <si>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Rhône Aérostructures</t>
  </si>
  <si>
    <t>Aéronautique</t>
  </si>
  <si>
    <t>Camille Dubois</t>
  </si>
  <si>
    <t>Norbatir Industries</t>
  </si>
  <si>
    <t>BTP</t>
  </si>
  <si>
    <t>PME</t>
  </si>
  <si>
    <t>ElectroPlast SA</t>
  </si>
  <si>
    <t>Électroménager</t>
  </si>
  <si>
    <t>Sophie Lenoir</t>
  </si>
  <si>
    <t>Dauphiné Composants</t>
  </si>
  <si>
    <t>Nortec Machines</t>
  </si>
  <si>
    <t>Machines-outils</t>
  </si>
  <si>
    <t>Alpina Métallurgie</t>
  </si>
  <si>
    <t>Métallurgie</t>
  </si>
  <si>
    <t>Lyonnaise Câblage</t>
  </si>
  <si>
    <t>Électronique</t>
  </si>
  <si>
    <t>Picardie Assemblage</t>
  </si>
  <si>
    <t>Global Export Partners</t>
  </si>
  <si>
    <t>Négoce international</t>
  </si>
  <si>
    <t>N° Commande</t>
  </si>
  <si>
    <t>Date</t>
  </si>
  <si>
    <t>ID Client</t>
  </si>
  <si>
    <t>Quantité</t>
  </si>
  <si>
    <t>Prix Unitaire</t>
  </si>
  <si>
    <t>Chiffre d'Affaires</t>
  </si>
  <si>
    <t>Coût Unitaire Direct</t>
  </si>
  <si>
    <t>Coût Direct Total</t>
  </si>
  <si>
    <t>Marge</t>
  </si>
  <si>
    <t>Taux de Marge</t>
  </si>
  <si>
    <t>V001</t>
  </si>
  <si>
    <t>V002</t>
  </si>
  <si>
    <t>V003</t>
  </si>
  <si>
    <t>V004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</si>
  <si>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</si>
  <si>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</si>
  <si>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</si>
  <si>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</si>
  <si>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</si>
  <si>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</si>
  <si>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</si>
  <si>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</si>
  <si>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</si>
  <si>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</si>
  <si>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V015</t>
  </si>
  <si>
    <t>V016</t>
  </si>
  <si>
    <t>V017</t>
  </si>
  <si>
    <t>V018</t>
  </si>
  <si>
    <t>V019</t>
  </si>
  <si>
    <t>V020</t>
  </si>
  <si>
    <t>V021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</si>
  <si>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</si>
  <si>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</si>
  <si>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</si>
  <si>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</si>
  <si>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</si>
  <si>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</si>
  <si>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</si>
  <si>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</si>
  <si>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</si>
  <si>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</si>
  <si>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</si>
  <si>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</si>
  <si>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</si>
  <si>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</si>
  <si>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</si>
  <si>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</si>
  <si>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</si>
  <si>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</si>
  <si>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V040</t>
  </si>
  <si>
    <t>V041</t>
  </si>
  <si>
    <t>V042</t>
  </si>
  <si>
    <t>V043</t>
  </si>
  <si>
    <t>V044</t>
  </si>
  <si>
    <t>V045</t>
  </si>
  <si>
    <t>V046</t>
  </si>
  <si>
    <t>V047</t>
  </si>
  <si>
    <t>V048</t>
  </si>
  <si>
    <t>V049</t>
  </si>
  <si>
    <t>V050</t>
  </si>
  <si>
    <t>V051</t>
  </si>
  <si>
    <t>V052</t>
  </si>
  <si>
    <t>V053</t>
  </si>
  <si>
    <t>V054</t>
  </si>
  <si>
    <t>V055</t>
  </si>
  <si>
    <t>V056</t>
  </si>
  <si>
    <t>V057</t>
  </si>
  <si>
    <t>V058</t>
  </si>
  <si>
    <t>V059</t>
  </si>
  <si>
    <t>V060</t>
  </si>
  <si>
    <t>Composants</t>
  </si>
  <si>
    <t>Modules</t>
  </si>
  <si>
    <t>Accessoires</t>
  </si>
  <si>
    <t>Secteur</t>
  </si>
  <si>
    <t>chargé de compte</t>
  </si>
  <si>
    <t>Nom Client</t>
  </si>
  <si>
    <t>CA Total</t>
  </si>
  <si>
    <t>Marge Total</t>
  </si>
  <si>
    <t>Cette analyse vise à évaluer la rentabilité de Norelec Industries selon deux angles — produit et client — afin d'identifier les leviers de croissance rentable et les zones de risque à surveiller."</t>
  </si>
  <si>
    <t xml:space="preserve">Modules est le produit le plus performant, combinant le CA le plus élevé (117 702 €) et un bon taux de marge (29,7 %). Composants génère un volume important (108 734 €) mais affiche le taux de marge le plus faible du </t>
  </si>
  <si>
    <t xml:space="preserve">portefeuille (27,7 %), ce qui appelle une vigilance si sa part continue de croître. Accessoires, à l'inverse, présente le meilleur taux de marge (30,1 %) mais reste le plus petit contributeur en valeur (63 023 €) </t>
  </si>
  <si>
    <t>un potentiel de croissance existe si le volume peut augmenter sans éroder la marge."</t>
  </si>
  <si>
    <t>Global Export Partners se distingue nettement du reste du portefeuille : il génère le CA le plus élevé (35 917 €) mais avec le taux de marge le plus faible (27,1 %), soit l'écart le plus marqué de tous les clients analysés</t>
  </si>
  <si>
    <t>Les neuf autres clients affichent des taux de marge homogènes, compris entre 28,5 % et 30,5 %, ne révélant pas de risque de concentration particulier sur ce segment."</t>
  </si>
  <si>
    <t xml:space="preserve">Il est recommandé d'investiguer les conditions commerciales accordées à Global Export Partners — remise volume, structure tarifaire à l'export, ou mix produit spécifique </t>
  </si>
  <si>
    <t>— afin de comprendre l'origine de sa faible rentabilité et d'évaluer une renégociation si pertinent</t>
  </si>
  <si>
    <t>Par ailleurs, les efforts de développement commercial devraient prioriser Modules et Accessoires, dont les profils de rentabilité sont les plus favorables,</t>
  </si>
  <si>
    <t>plutôt que Composants dont la marge plus faible limite la contribution malgré un volume élevé.</t>
  </si>
  <si>
    <t>total de  Marge</t>
  </si>
  <si>
    <t>Total de Taux de Marge Réel Clients</t>
  </si>
  <si>
    <t>Total du CA</t>
  </si>
  <si>
    <t>Constat global : Le CA réel est proche du budget sur l'année (5 788 883 € vs 5 784 490 €, écart de +0,08 %), ce qui masque des écarts de sens opposé entre régions : Export est inférieur au budget de 22 493 € (−2,4 %), compensé par IDF, Nord et Sud (+26 887 € au total). L'analyse globale seule aurait donné une fausse impression de stabilité.</t>
  </si>
  <si>
    <t>Alerte n°1 : Malgré un CA en hausse (+15 766 €, porté par un effet volume positif), la marge de la gamme Composants a reculé de 28 537 € (−1,19 point de taux de marge). Cause identifiée : un surcoût matières premières concentré sur avril, mai et juin (environ +10 % par unité par rapport au coût standard).</t>
  </si>
  <si>
    <t>Alerte n°2 : La région Export affiche un écart de CA de −18,6 % sur le seul mois de juillet (moins de 3,5 % en valeur absolue le reste de l'année), cohérent avec une rupture ponctuelle plutôt qu'une tendance de fond.</t>
  </si>
  <si>
    <t>Point de vigilance : La croissance du volume global (+449 unités, +35 441 € en théorie, au prix moyen budget) s'est concentrée sur le produit au prix unitaire le plus faible (Composants, environ 45 € l'unité), ce qui a partiellement neutralisé le gain attendu.</t>
  </si>
  <si>
    <t>Norelec Industries - Suivi budgétaire 2025</t>
  </si>
  <si>
    <t>Périmètre : Projet 1 = budget vs réel 2025 (4 régions, 3 gammes de produits). Projet 3 = rentabilité par produit et par client (jeu de données distinct).</t>
  </si>
  <si>
    <t>Onglet</t>
  </si>
  <si>
    <t>Contenu</t>
  </si>
  <si>
    <t>BUDGET</t>
  </si>
  <si>
    <t>Budget 2025 par mois, région et produit</t>
  </si>
  <si>
    <t>REEL</t>
  </si>
  <si>
    <t>Réalisé 2025, même structure</t>
  </si>
  <si>
    <t>Consolide</t>
  </si>
  <si>
    <t>Budget et réel regroupés dans une table</t>
  </si>
  <si>
    <t>Dashboard</t>
  </si>
  <si>
    <t>CA budget vs réel et écarts</t>
  </si>
  <si>
    <t>Dashboard_Coût</t>
  </si>
  <si>
    <t>Coûts matières budget vs réel</t>
  </si>
  <si>
    <t>ANALYSE_VPM</t>
  </si>
  <si>
    <t>Écart de CA : effets prix, volume, mix</t>
  </si>
  <si>
    <t>ANALYSE_MARGE</t>
  </si>
  <si>
    <t>Marge et taux de marge par produit</t>
  </si>
  <si>
    <t>SYNTHESE</t>
  </si>
  <si>
    <t>Constats et recommandations (Projet 1)</t>
  </si>
  <si>
    <t>CLIENTS</t>
  </si>
  <si>
    <t>Référentiel clients</t>
  </si>
  <si>
    <t>VENTES</t>
  </si>
  <si>
    <t>60 commandes avec marge</t>
  </si>
  <si>
    <t>Analyse_Rentabilité_Produit</t>
  </si>
  <si>
    <t>Rentabilité par produit</t>
  </si>
  <si>
    <t>Analyse_Rentabilité_Client</t>
  </si>
  <si>
    <t>Rentabilité par client</t>
  </si>
  <si>
    <t>Synthèse_Rentabilité</t>
  </si>
  <si>
    <t>Constats et recommandations (Projet 3)</t>
  </si>
  <si>
    <t>Limites :</t>
  </si>
  <si>
    <t>- Données simulées, une seule année.</t>
  </si>
  <si>
    <t>- Hypothèses de coûts du budget saisies dans les formules de BUDGET (65 % matières, 35 % MO du coût unitaire ; charges fixes à 8 % du CA).</t>
  </si>
  <si>
    <t>- Pas de prévision dans ce classeur.</t>
  </si>
  <si>
    <t xml:space="preserve">4. Recommandation </t>
  </si>
  <si>
    <t xml:space="preserve">3. Constat Client </t>
  </si>
  <si>
    <t xml:space="preserve">2. Constat Produit </t>
  </si>
  <si>
    <t xml:space="preserve">1. Contexte </t>
  </si>
  <si>
    <t>N° mois</t>
  </si>
  <si>
    <t>Ordre mois</t>
  </si>
  <si>
    <t>Total des Coût_Matières</t>
  </si>
  <si>
    <t>Total des Taux de Marge Réel</t>
  </si>
  <si>
    <t>Total Taux de Marge Réel</t>
  </si>
  <si>
    <t>Produits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</si>
</sst>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£&quot;* #,##0.00_-;\-&quot;£&quot;* #,##0.00_-;_-&quot;£&quot;* &quot;-&quot;??_-;_-@_-"/>
    <numFmt numFmtId="164" formatCode="_-* #,##0\ [$€-40C]_-;\-* #,##0\ [$€-40C]_-;_-* &quot;-&quot;\ [$€-40C]_-;_-@_-"/>
    <numFmt numFmtId="165" formatCode="0.0%"/>
    <numFmt numFmtId="166" formatCode="_-* #,##0.00\ [$€-40C]_-;\-* #,##0.00\ [$€-40C]_-;_-* &quot;-&quot;??\ [$€-40C]_-;_-@_-"/>
    <numFmt numFmtId="167" formatCode="#,##0\ [$€-40C]"/>
    <numFmt numFmtId="168" formatCode="#,##0\ \€"/>
    <numFmt numFmtId="169" formatCode="#,##0.00\ \€"/>
    <numFmt numFmtId="170" formatCode="#,##0\ \€;\(#,##0\ \€\);&quot;-&quot;"/>
    <numFmt numFmtId="171" formatCode="0.0\ %;\(0.0\ %\);&quot;-&quot;"/>
    <numFmt numFmtId="172" formatCode="0.0%;[Red]\(0.0%\)"/>
  </numFmts>
  <fonts count="1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 tint="0.1499984740745262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/>
    <xf numFmtId="0" fontId="2" fillId="2" borderId="0" xfId="0" applyFont="1" applyFill="1"/>
    <xf numFmtId="2" fontId="0" fillId="0" borderId="0" xfId="0" applyNumberFormat="1"/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3" borderId="0" xfId="0" applyFont="1" applyFill="1"/>
    <xf numFmtId="0" fontId="7" fillId="0" borderId="0" xfId="0" applyFont="1"/>
    <xf numFmtId="2" fontId="1" fillId="3" borderId="0" xfId="0" applyNumberFormat="1" applyFont="1" applyFill="1"/>
    <xf numFmtId="10" fontId="1" fillId="3" borderId="0" xfId="0" applyNumberFormat="1" applyFont="1" applyFill="1"/>
    <xf numFmtId="164" fontId="1" fillId="3" borderId="0" xfId="0" applyNumberFormat="1" applyFont="1" applyFill="1"/>
    <xf numFmtId="164" fontId="0" fillId="0" borderId="0" xfId="0" applyNumberFormat="1"/>
    <xf numFmtId="14" fontId="0" fillId="0" borderId="0" xfId="0" applyNumberFormat="1"/>
    <xf numFmtId="165" fontId="1" fillId="3" borderId="0" xfId="0" applyNumberFormat="1" applyFont="1" applyFill="1"/>
    <xf numFmtId="165" fontId="0" fillId="0" borderId="0" xfId="0" applyNumberFormat="1"/>
    <xf numFmtId="44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167" fontId="0" fillId="0" borderId="0" xfId="0" applyNumberFormat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4" borderId="0" xfId="0" applyFont="1" applyFill="1"/>
    <xf numFmtId="167" fontId="2" fillId="4" borderId="0" xfId="0" applyNumberFormat="1" applyFont="1" applyFill="1"/>
    <xf numFmtId="0" fontId="0" fillId="5" borderId="0" xfId="0" applyFill="1"/>
    <xf numFmtId="165" fontId="0" fillId="5" borderId="0" xfId="0" applyNumberFormat="1" applyFill="1"/>
    <xf numFmtId="0" fontId="2" fillId="6" borderId="0" xfId="0" applyFont="1" applyFill="1"/>
    <xf numFmtId="165" fontId="2" fillId="6" borderId="0" xfId="0" applyNumberFormat="1" applyFont="1" applyFill="1"/>
    <xf numFmtId="0" fontId="0" fillId="7" borderId="0" xfId="0" applyFill="1"/>
    <xf numFmtId="165" fontId="0" fillId="7" borderId="0" xfId="0" applyNumberFormat="1" applyFill="1"/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  <xf numFmtId="168" fontId="0" fillId="0" borderId="0" xfId="0" applyNumberFormat="1"/>
    <xf numFmtId="169" fontId="0" fillId="0" borderId="0" xfId="0" applyNumberFormat="1"/>
    <xf numFmtId="168" fontId="0" fillId="7" borderId="0" xfId="0" applyNumberFormat="1" applyFill="1"/>
    <xf numFmtId="168" fontId="0" fillId="5" borderId="0" xfId="0" applyNumberFormat="1" applyFill="1"/>
    <xf numFmtId="0" fontId="6" fillId="0" borderId="0" xfId="0" applyFont="1"/>
    <xf numFmtId="0" fontId="3" fillId="0" borderId="0" xfId="0" applyFont="1" applyAlignment="1">
      <alignment wrapText="1"/>
    </xf>
    <xf numFmtId="170" fontId="5" fillId="0" borderId="0" xfId="0" applyNumberFormat="1" applyFont="1"/>
    <xf numFmtId="171" fontId="0" fillId="0" borderId="0" xfId="0" applyNumberFormat="1"/>
    <xf numFmtId="170" fontId="0" fillId="0" borderId="0" xfId="0" applyNumberFormat="1"/>
    <xf numFmtId="0" fontId="8" fillId="0" borderId="0" xfId="0" applyFont="1" applyAlignment="1">
      <alignment vertical="center" wrapText="1"/>
    </xf>
    <xf numFmtId="0" fontId="12" fillId="8" borderId="0" xfId="0" applyFont="1" applyFill="1" applyAlignment="1">
      <alignment wrapText="1"/>
    </xf>
    <xf numFmtId="0" fontId="1" fillId="8" borderId="0" xfId="0" applyFont="1" applyFill="1"/>
    <xf numFmtId="0" fontId="2" fillId="8" borderId="0" xfId="0" applyFont="1" applyFill="1"/>
    <xf numFmtId="0" fontId="13" fillId="9" borderId="0" xfId="0" applyFont="1" applyFill="1"/>
    <xf numFmtId="0" fontId="2" fillId="9" borderId="0" xfId="0" applyFont="1" applyFill="1"/>
    <xf numFmtId="1" fontId="0" fillId="0" borderId="0" xfId="0" applyNumberFormat="1"/>
    <xf numFmtId="172" fontId="0" fillId="0" borderId="0" xfId="0" applyNumberFormat="1"/>
    <xf numFmtId="172" fontId="11" fillId="0" borderId="0" xfId="0" applyNumberFormat="1" applyFont="1"/>
    <xf numFmtId="172" fontId="5" fillId="0" borderId="0" xfId="0" applyNumberFormat="1" applyFont="1"/>
    <xf numFmtId="172" fontId="14" fillId="0" borderId="0" xfId="0" applyNumberFormat="1" applyFont="1"/>
  </cellXfs>
  <cellStyles count="1">
    <cellStyle name="Normal" xfId="0" builtinId="0"/>
  </cellStyles>
  <dxfs count="63"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FF0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C00000"/>
      </font>
    </dxf>
    <dxf>
      <font>
        <color rgb="FF008000"/>
      </font>
    </dxf>
    <dxf>
      <numFmt numFmtId="164" formatCode="_-* #,##0\ [$€-40C]_-;\-* #,##0\ [$€-40C]_-;_-* &quot;-&quot;\ [$€-40C]_-;_-@_-"/>
    </dxf>
    <dxf>
      <numFmt numFmtId="164" formatCode="_-* #,##0\ [$€-40C]_-;\-* #,##0\ [$€-40C]_-;_-* &quot;-&quot;\ [$€-40C]_-;_-@_-"/>
    </dxf>
    <dxf>
      <numFmt numFmtId="164" formatCode="_-* #,##0\ [$€-40C]_-;\-* #,##0\ [$€-40C]_-;_-* &quot;-&quot;\ [$€-40C]_-;_-@_-"/>
    </dxf>
    <dxf>
      <numFmt numFmtId="164" formatCode="_-* #,##0\ [$€-40C]_-;\-* #,##0\ [$€-40C]_-;_-* &quot;-&quot;\ [$€-40C]_-;_-@_-"/>
    </dxf>
    <dxf>
      <numFmt numFmtId="165" formatCode="0.0%"/>
    </dxf>
    <dxf>
      <numFmt numFmtId="165" formatCode="0.0%"/>
    </dxf>
    <dxf>
      <numFmt numFmtId="164" formatCode="_-* #,##0\ [$€-40C]_-;\-* #,##0\ [$€-40C]_-;_-* &quot;-&quot;\ [$€-40C]_-;_-@_-"/>
    </dxf>
    <dxf>
      <numFmt numFmtId="164" formatCode="_-* #,##0\ [$€-40C]_-;\-* #,##0\ [$€-40C]_-;_-* &quot;-&quot;\ [$€-40C]_-;_-@_-"/>
    </dxf>
    <dxf>
      <numFmt numFmtId="164" formatCode="_-* #,##0\ [$€-40C]_-;\-* #,##0\ [$€-40C]_-;_-* &quot;-&quot;\ [$€-40C]_-;_-@_-"/>
    </dxf>
    <dxf>
      <numFmt numFmtId="166" formatCode="_-* #,##0.00\ [$€-40C]_-;\-* #,##0.00\ [$€-40C]_-;_-* &quot;-&quot;??\ [$€-40C]_-;_-@_-"/>
    </dxf>
    <dxf>
      <numFmt numFmtId="166" formatCode="_-* #,##0.00\ [$€-40C]_-;\-* #,##0.00\ [$€-40C]_-;_-* &quot;-&quot;??\ [$€-40C]_-;_-@_-"/>
    </dxf>
    <dxf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numFmt numFmtId="166" formatCode="_-* #,##0.00\ [$€-40C]_-;\-* #,##0.00\ [$€-40C]_-;_-* &quot;-&quot;??\ [$€-40C]_-;_-@_-"/>
    </dxf>
    <dxf>
      <numFmt numFmtId="165" formatCode="0.0%"/>
    </dxf>
    <dxf>
      <numFmt numFmtId="165" formatCode="0.0%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.0%"/>
    </dxf>
    <dxf>
      <numFmt numFmtId="168" formatCode="#,##0\ \€"/>
    </dxf>
    <dxf>
      <numFmt numFmtId="168" formatCode="#,##0\ \€"/>
    </dxf>
    <dxf>
      <numFmt numFmtId="169" formatCode="#,##0.00\ \€"/>
    </dxf>
    <dxf>
      <numFmt numFmtId="168" formatCode="#,##0\ \€"/>
    </dxf>
    <dxf>
      <numFmt numFmtId="169" formatCode="#,##0.00\ \€"/>
    </dxf>
    <dxf>
      <numFmt numFmtId="3" formatCode="#,##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</dxf>
    <dxf>
      <numFmt numFmtId="170" formatCode="#,##0\ \€;\(#,##0\ \€\);&quot;-&quot;"/>
    </dxf>
    <dxf>
      <numFmt numFmtId="170" formatCode="#,##0\ \€;\(#,##0\ \€\);&quot;-&quot;"/>
    </dxf>
    <dxf>
      <font>
        <color auto="1"/>
      </font>
    </dxf>
    <dxf>
      <font>
        <color auto="1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FF0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Rentabilité par Produit : CA vs Taux de Marge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6E6DC7A7-558E-4BB4-B584-6B5AC4030BD9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E736-47CA-B8B4-C2DD2490259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5D88AD3-3C8C-40B4-9897-92112217EFDD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736-47CA-B8B4-C2DD2490259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6F8963B-3E6D-4219-9043-A6FE36C6003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736-47CA-B8B4-C2DD249025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Analyse_Rentabilité_Produit!$B$11:$B$13</c:f>
              <c:numCache>
                <c:formatCode>#,##0\ \€</c:formatCode>
                <c:ptCount val="3"/>
                <c:pt idx="0">
                  <c:v>117702</c:v>
                </c:pt>
                <c:pt idx="1">
                  <c:v>108734</c:v>
                </c:pt>
                <c:pt idx="2">
                  <c:v>63023</c:v>
                </c:pt>
              </c:numCache>
            </c:numRef>
          </c:xVal>
          <c:yVal>
            <c:numRef>
              <c:f>Analyse_Rentabilité_Produit!$D$11:$D$13</c:f>
              <c:numCache>
                <c:formatCode>0.0%</c:formatCode>
                <c:ptCount val="3"/>
                <c:pt idx="0">
                  <c:v>0.29662197753649044</c:v>
                </c:pt>
                <c:pt idx="1">
                  <c:v>0.27740173266871448</c:v>
                </c:pt>
                <c:pt idx="2">
                  <c:v>0.30147723846849561</c:v>
                </c:pt>
              </c:numCache>
            </c:numRef>
          </c:yVal>
          <c:bubbleSize>
            <c:numRef>
              <c:f>Analyse_Rentabilité_Produit!$C$11:$C$13</c:f>
              <c:numCache>
                <c:formatCode>#,##0\ \€</c:formatCode>
                <c:ptCount val="3"/>
                <c:pt idx="0">
                  <c:v>34913</c:v>
                </c:pt>
                <c:pt idx="1">
                  <c:v>30163</c:v>
                </c:pt>
                <c:pt idx="2">
                  <c:v>19000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5="http://schemas.microsoft.com/office/drawing/2012/chart" uri="{02D57815-91ED-43cb-92C2-25804820EDAC}">
              <c15:datalabelsRange>
                <c15:f>Analyse_Rentabilité_Produit!$A$11:$A$13</c15:f>
                <c15:dlblRangeCache>
                  <c:ptCount val="3"/>
                  <c:pt idx="0">
                    <c:v>Modules</c:v>
                  </c:pt>
                  <c:pt idx="1">
                    <c:v>Composants</c:v>
                  </c:pt>
                  <c:pt idx="2">
                    <c:v>Accessoires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E736-47CA-B8B4-C2DD24902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392900623"/>
        <c:axId val="1147767311"/>
      </c:bubbleChart>
      <c:valAx>
        <c:axId val="1392900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/>
                  <a:t>Chiffre d'Affaires (€)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\ \€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767311"/>
        <c:crosses val="autoZero"/>
        <c:crossBetween val="midCat"/>
      </c:valAx>
      <c:valAx>
        <c:axId val="114776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/>
                  <a:t>Taux de Marge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900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Rentabilité par Client : CA vs Taux de Marge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v>Rentabilité par Client</c:v>
          </c:tx>
          <c:spPr>
            <a:solidFill>
              <a:schemeClr val="accent1"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E13D85B4-72B5-4AC0-B383-0E6B5C0FEBD2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9573-45EA-B0E1-82700CB1EF2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121D191-35F5-430A-A5F0-31397F90D1E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573-45EA-B0E1-82700CB1EF2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56045D7-03E9-4DBF-BB52-08A06F3E7E1A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573-45EA-B0E1-82700CB1EF2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4687923-FC1E-4E02-BF44-E6688EAEEBC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573-45EA-B0E1-82700CB1EF2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AE2384B-3231-4B8F-9547-2E9C4FFDC6A3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573-45EA-B0E1-82700CB1EF2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0C241C8-C570-4B2E-B8FA-EF71D99B855E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573-45EA-B0E1-82700CB1EF2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A346FD2-B51E-4308-9A86-A038EB443543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573-45EA-B0E1-82700CB1EF2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527B676-D674-40A0-9066-C93B7A1ADF7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573-45EA-B0E1-82700CB1EF2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27FF7AF-F544-4512-AFB1-2A2FB511A46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573-45EA-B0E1-82700CB1EF2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97D594A-6B27-4B7F-A694-CC6D4AD64AAF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573-45EA-B0E1-82700CB1EF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Analyse_Rentabilité_Client!$H$3:$H$12</c:f>
              <c:numCache>
                <c:formatCode>#,##0\ \€</c:formatCode>
                <c:ptCount val="10"/>
                <c:pt idx="0">
                  <c:v>35917</c:v>
                </c:pt>
                <c:pt idx="1">
                  <c:v>32084</c:v>
                </c:pt>
                <c:pt idx="2">
                  <c:v>29960</c:v>
                </c:pt>
                <c:pt idx="3">
                  <c:v>29477</c:v>
                </c:pt>
                <c:pt idx="4">
                  <c:v>27383</c:v>
                </c:pt>
                <c:pt idx="5">
                  <c:v>28149</c:v>
                </c:pt>
                <c:pt idx="6">
                  <c:v>27121</c:v>
                </c:pt>
                <c:pt idx="7">
                  <c:v>27184</c:v>
                </c:pt>
                <c:pt idx="8">
                  <c:v>27176</c:v>
                </c:pt>
                <c:pt idx="9">
                  <c:v>25008</c:v>
                </c:pt>
              </c:numCache>
            </c:numRef>
          </c:xVal>
          <c:yVal>
            <c:numRef>
              <c:f>Analyse_Rentabilité_Client!$J$3:$J$12</c:f>
              <c:numCache>
                <c:formatCode>0.0%</c:formatCode>
                <c:ptCount val="10"/>
                <c:pt idx="0">
                  <c:v>0.2708745162457889</c:v>
                </c:pt>
                <c:pt idx="1">
                  <c:v>0.29422765241241738</c:v>
                </c:pt>
                <c:pt idx="2">
                  <c:v>0.28661548731642189</c:v>
                </c:pt>
                <c:pt idx="3">
                  <c:v>0.28758014723343622</c:v>
                </c:pt>
                <c:pt idx="4">
                  <c:v>0.30544498411423143</c:v>
                </c:pt>
                <c:pt idx="5">
                  <c:v>0.29315428612028849</c:v>
                </c:pt>
                <c:pt idx="6">
                  <c:v>0.29844032299693962</c:v>
                </c:pt>
                <c:pt idx="7">
                  <c:v>0.29326074161271337</c:v>
                </c:pt>
                <c:pt idx="8">
                  <c:v>0.2848101265822785</c:v>
                </c:pt>
                <c:pt idx="9">
                  <c:v>0.29674504158669224</c:v>
                </c:pt>
              </c:numCache>
            </c:numRef>
          </c:yVal>
          <c:bubbleSize>
            <c:numRef>
              <c:f>Analyse_Rentabilité_Client!$D$4:$D$13</c:f>
              <c:numCache>
                <c:formatCode>0.0%</c:formatCode>
                <c:ptCount val="10"/>
                <c:pt idx="0">
                  <c:v>0.2708745162457889</c:v>
                </c:pt>
                <c:pt idx="1">
                  <c:v>0.29422765241241738</c:v>
                </c:pt>
                <c:pt idx="2">
                  <c:v>0.28661548731642189</c:v>
                </c:pt>
                <c:pt idx="3">
                  <c:v>0.28758014723343622</c:v>
                </c:pt>
                <c:pt idx="4">
                  <c:v>0.30544498411423143</c:v>
                </c:pt>
                <c:pt idx="5">
                  <c:v>0.29315428612028849</c:v>
                </c:pt>
                <c:pt idx="6">
                  <c:v>0.29844032299693962</c:v>
                </c:pt>
                <c:pt idx="7">
                  <c:v>0.29326074161271337</c:v>
                </c:pt>
                <c:pt idx="8">
                  <c:v>0.2848101265822785</c:v>
                </c:pt>
                <c:pt idx="9">
                  <c:v>0.29674504158669224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Analyse_Rentabilité_Client!$G$3:$G$12</c15:f>
                <c15:dlblRangeCache>
                  <c:ptCount val="10"/>
                  <c:pt idx="0">
                    <c:v>Global Export Partners</c:v>
                  </c:pt>
                  <c:pt idx="1">
                    <c:v>Auvergne Automotive Systems</c:v>
                  </c:pt>
                  <c:pt idx="2">
                    <c:v>Rhône Aérostructures</c:v>
                  </c:pt>
                  <c:pt idx="3">
                    <c:v>Alpina Métallurgie</c:v>
                  </c:pt>
                  <c:pt idx="4">
                    <c:v>Nortec Machines</c:v>
                  </c:pt>
                  <c:pt idx="5">
                    <c:v>Dauphiné Composants</c:v>
                  </c:pt>
                  <c:pt idx="6">
                    <c:v>Norbatir Industries</c:v>
                  </c:pt>
                  <c:pt idx="7">
                    <c:v>Lyonnaise Câblage</c:v>
                  </c:pt>
                  <c:pt idx="8">
                    <c:v>Picardie Assemblage</c:v>
                  </c:pt>
                  <c:pt idx="9">
                    <c:v>ElectroPlast SA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9573-45EA-B0E1-82700CB1E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506141567"/>
        <c:axId val="1147786031"/>
      </c:bubbleChart>
      <c:valAx>
        <c:axId val="1506141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/>
                  <a:t>Chiffre d'Affaires (€)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\ \€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786031"/>
        <c:crosses val="autoZero"/>
        <c:crossBetween val="midCat"/>
      </c:valAx>
      <c:valAx>
        <c:axId val="114778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/>
                  <a:t>Taux de Marge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141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83820</xdr:colOff>
      <xdr:row>6</xdr:row>
      <xdr:rowOff>41910</xdr:rowOff>
    </xdr:from>
    <xdr:to>
      <xdr:col>12</xdr:col>
      <xdr:colOff>388620</xdr:colOff>
      <xdr:row>21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53D503-299E-F27C-01B3-FD39EA5B63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407633</xdr:colOff>
      <xdr:row>13</xdr:row>
      <xdr:rowOff>56455</xdr:rowOff>
    </xdr:from>
    <xdr:to>
      <xdr:col>9</xdr:col>
      <xdr:colOff>314193</xdr:colOff>
      <xdr:row>28</xdr:row>
      <xdr:rowOff>56455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520A96-373F-F811-BA70-6F33721B5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in edinguele" refreshedDate="46271.441351620371" createdVersion="8" refreshedVersion="8" minRefreshableVersion="3" recordCount="60" xr:uid="{3074C1F1-1CDD-44C2-976B-829FCA041733}">
  <cacheSource type="worksheet">
    <worksheetSource name="Tbl_Ventes"/>
  </cacheSource>
  <cacheFields count="17">
    <cacheField name="N° Commande" numFmtId="0">
      <sharedItems/>
    </cacheField>
    <cacheField name="Date" numFmtId="14">
      <sharedItems containsSemiMixedTypes="0" containsNonDate="0" containsDate="1" containsString="0" minDate="2025-01-15T00:00:00" maxDate="2025-07-23T00:00:00"/>
    </cacheField>
    <cacheField name="ID Client" numFmtId="0">
      <sharedItems/>
    </cacheField>
    <cacheField name="Région" numFmtId="0">
      <sharedItems/>
    </cacheField>
    <cacheField name="Produit" numFmtId="0">
      <sharedItems count="3">
        <s v="Composants"/>
        <s v="Modules"/>
        <s v="Accessoires"/>
      </sharedItems>
    </cacheField>
    <cacheField name="Quantité" numFmtId="0">
      <sharedItems containsSemiMixedTypes="0" containsString="0" containsNumber="1" containsInteger="1" minValue="40" maxValue="215"/>
    </cacheField>
    <cacheField name="Prix Unitaire" numFmtId="0">
      <sharedItems containsSemiMixedTypes="0" containsString="0" containsNumber="1" containsInteger="1" minValue="18" maxValue="116"/>
    </cacheField>
    <cacheField name="Chiffre d'Affaires" numFmtId="0">
      <sharedItems containsSemiMixedTypes="0" containsString="0" containsNumber="1" containsInteger="1" minValue="2610" maxValue="9400"/>
    </cacheField>
    <cacheField name="Coût Unitaire Direct" numFmtId="0">
      <sharedItems containsSemiMixedTypes="0" containsString="0" containsNumber="1" containsInteger="1" minValue="12" maxValue="84"/>
    </cacheField>
    <cacheField name="Coût Direct Total" numFmtId="0">
      <sharedItems containsSemiMixedTypes="0" containsString="0" containsNumber="1" containsInteger="1" minValue="1680" maxValue="6800"/>
    </cacheField>
    <cacheField name="Marge" numFmtId="0">
      <sharedItems containsSemiMixedTypes="0" containsString="0" containsNumber="1" containsInteger="1" minValue="720" maxValue="2600" count="55">
        <n v="1560"/>
        <n v="1920"/>
        <n v="1000"/>
        <n v="1080"/>
        <n v="1485"/>
        <n v="1050"/>
        <n v="1430"/>
        <n v="1760"/>
        <n v="720"/>
        <n v="2600"/>
        <n v="2310"/>
        <n v="800"/>
        <n v="1235"/>
        <n v="1550"/>
        <n v="980"/>
        <n v="1690"/>
        <n v="2210"/>
        <n v="950"/>
        <n v="1200"/>
        <n v="1320"/>
        <n v="1020"/>
        <n v="1495"/>
        <n v="1914"/>
        <n v="930"/>
        <n v="1500"/>
        <n v="1536"/>
        <n v="825"/>
        <n v="1365"/>
        <n v="1716"/>
        <n v="1416"/>
        <n v="2046"/>
        <n v="870"/>
        <n v="1176"/>
        <n v="1815"/>
        <n v="1296"/>
        <n v="1110"/>
        <n v="2340"/>
        <n v="2244"/>
        <n v="790"/>
        <n v="1326"/>
        <n v="1551"/>
        <n v="888"/>
        <n v="1586"/>
        <n v="1856"/>
        <n v="1008"/>
        <n v="1344"/>
        <n v="890"/>
        <n v="1749"/>
        <n v="1134"/>
        <n v="1584"/>
        <n v="1452"/>
        <n v="860"/>
        <n v="1404"/>
        <n v="1650"/>
        <n v="1075"/>
      </sharedItems>
    </cacheField>
    <cacheField name="Taux de Marge" numFmtId="165">
      <sharedItems containsSemiMixedTypes="0" containsString="0" containsNumber="1" minValue="0.22222222222222221" maxValue="0.36842105263157893"/>
    </cacheField>
    <cacheField name="Nom Client" numFmtId="0">
      <sharedItems count="10">
        <s v="Auvergne Automotive Systems"/>
        <s v="Rhône Aérostructures"/>
        <s v="Norbatir Industries"/>
        <s v="ElectroPlast SA"/>
        <s v="Dauphiné Composants"/>
        <s v="Nortec Machines"/>
        <s v="Alpina Métallurgie"/>
        <s v="Lyonnaise Câblage"/>
        <s v="Picardie Assemblage"/>
        <s v="Global Export Partners"/>
      </sharedItems>
    </cacheField>
    <cacheField name="Secteur" numFmtId="0">
      <sharedItems count="8">
        <s v="Automobile"/>
        <s v="Aéronautique"/>
        <s v="BTP"/>
        <s v="Électroménager"/>
        <s v="Machines-outils"/>
        <s v="Métallurgie"/>
        <s v="Électronique"/>
        <s v="Négoce international"/>
      </sharedItems>
    </cacheField>
    <cacheField name="chargé de compte" numFmtId="0">
      <sharedItems/>
    </cacheField>
    <cacheField name="Taux de Marge Réel" numFmtId="0" formula="Marge/'Chiffre d''Affaires'" databaseField="0"/>
    <cacheField name="Taux de Marge Réel Clients" numFmtId="0" formula="Marge/'Chiffre d''Affaire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in edinguele" refreshedDate="46307.38220763889" createdVersion="8" refreshedVersion="8" minRefreshableVersion="3" recordCount="288" xr:uid="{1F16EF26-ED38-459D-BB4D-FDD44A7F2805}">
  <cacheSource type="worksheet">
    <worksheetSource ref="A1:J289" sheet="Consolide"/>
  </cacheSource>
  <cacheFields count="10">
    <cacheField name="Mois" numFmtId="0">
      <sharedItems count="12">
        <s v="Janvier "/>
        <s v="Février "/>
        <s v="Mars "/>
        <s v="Avril"/>
        <s v="Mai"/>
        <s v="Juin"/>
        <s v="Juillet"/>
        <s v="Août "/>
        <s v="Septembre "/>
        <s v="Octobre "/>
        <s v="Novembre "/>
        <s v="Décembre"/>
      </sharedItems>
    </cacheField>
    <cacheField name="N° mois" numFmtId="1">
      <sharedItems containsSemiMixedTypes="0" containsString="0" containsNumber="1" containsInteger="1" minValue="1" maxValue="12"/>
    </cacheField>
    <cacheField name="Région" numFmtId="0">
      <sharedItems count="4">
        <s v="IDF"/>
        <s v="Nord"/>
        <s v="Sud"/>
        <s v="Export"/>
      </sharedItems>
    </cacheField>
    <cacheField name="Produit" numFmtId="0">
      <sharedItems count="3">
        <s v="composants"/>
        <s v="Equipements"/>
        <s v="Services"/>
      </sharedItems>
    </cacheField>
    <cacheField name="Type" numFmtId="0">
      <sharedItems count="3">
        <s v="budget"/>
        <s v="réel"/>
        <s v="Ecart" f="1"/>
      </sharedItems>
    </cacheField>
    <cacheField name="Volume" numFmtId="3">
      <sharedItems containsSemiMixedTypes="0" containsString="0" containsNumber="1" containsInteger="1" minValue="33" maxValue="2419"/>
    </cacheField>
    <cacheField name="CA" numFmtId="167">
      <sharedItems containsSemiMixedTypes="0" containsString="0" containsNumber="1" minValue="4950" maxValue="107995.01"/>
    </cacheField>
    <cacheField name="Cout_Matières" numFmtId="168">
      <sharedItems containsSemiMixedTypes="0" containsString="0" containsNumber="1" minValue="1930.5" maxValue="43793.77"/>
    </cacheField>
    <cacheField name="Cout_MO" numFmtId="168">
      <sharedItems containsSemiMixedTypes="0" containsString="0" containsNumber="1" minValue="1039.5" maxValue="23390.53"/>
    </cacheField>
    <cacheField name="Charges fixes" numFmtId="168">
      <sharedItems containsSemiMixedTypes="0" containsString="0" containsNumber="1" minValue="396" maxValue="8535.6"/>
    </cacheField>
  </cacheFields>
  <calculatedItems count="1">
    <calculatedItem formula="Type[réel]-Type[budget]">
      <pivotArea cacheIndex="1" outline="0" fieldPosition="0">
        <references count="1">
          <reference field="4" count="1">
            <x v="2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V001"/>
    <d v="2025-01-15T00:00:00"/>
    <s v="C001"/>
    <s v="Sud"/>
    <x v="0"/>
    <n v="120"/>
    <n v="45"/>
    <n v="5400"/>
    <n v="32"/>
    <n v="3840"/>
    <x v="0"/>
    <n v="0.28888888888888886"/>
    <x v="0"/>
    <x v="0"/>
    <s v="Julien Marchand"/>
  </r>
  <r>
    <s v="V002"/>
    <d v="2025-01-18T00:00:00"/>
    <s v="C002"/>
    <s v="Sud"/>
    <x v="1"/>
    <n v="60"/>
    <n v="110"/>
    <n v="6600"/>
    <n v="78"/>
    <n v="4680"/>
    <x v="1"/>
    <n v="0.29090909090909089"/>
    <x v="1"/>
    <x v="1"/>
    <s v="Camille Dubois"/>
  </r>
  <r>
    <s v="V003"/>
    <d v="2025-01-22T00:00:00"/>
    <s v="C003"/>
    <s v="Nord"/>
    <x v="2"/>
    <n v="200"/>
    <n v="18"/>
    <n v="3600"/>
    <n v="13"/>
    <n v="2600"/>
    <x v="2"/>
    <n v="0.27777777777777779"/>
    <x v="2"/>
    <x v="2"/>
    <s v="Julien Marchand"/>
  </r>
  <r>
    <s v="V004"/>
    <d v="2025-01-25T00:00:00"/>
    <s v="C004"/>
    <s v="Nord"/>
    <x v="0"/>
    <n v="90"/>
    <n v="45"/>
    <n v="4050"/>
    <n v="33"/>
    <n v="2970"/>
    <x v="3"/>
    <n v="0.26666666666666666"/>
    <x v="3"/>
    <x v="3"/>
    <s v="Sophie Lenoir"/>
  </r>
  <r>
    <s v="V005"/>
    <d v="2025-01-28T00:00:00"/>
    <s v="C005"/>
    <s v="Sud"/>
    <x v="1"/>
    <n v="45"/>
    <n v="108"/>
    <n v="4860"/>
    <n v="75"/>
    <n v="3375"/>
    <x v="4"/>
    <n v="0.30555555555555558"/>
    <x v="4"/>
    <x v="0"/>
    <s v="Camille Dubois"/>
  </r>
  <r>
    <s v="V006"/>
    <d v="2025-02-02T00:00:00"/>
    <s v="C006"/>
    <s v="Nord"/>
    <x v="2"/>
    <n v="150"/>
    <n v="19"/>
    <n v="2850"/>
    <n v="12"/>
    <n v="1800"/>
    <x v="5"/>
    <n v="0.36842105263157893"/>
    <x v="5"/>
    <x v="4"/>
    <s v="Sophie Lenoir"/>
  </r>
  <r>
    <s v="V007"/>
    <d v="2025-02-05T00:00:00"/>
    <s v="C007"/>
    <s v="Sud"/>
    <x v="0"/>
    <n v="110"/>
    <n v="44"/>
    <n v="4840"/>
    <n v="31"/>
    <n v="3410"/>
    <x v="6"/>
    <n v="0.29545454545454547"/>
    <x v="6"/>
    <x v="5"/>
    <s v="Julien Marchand"/>
  </r>
  <r>
    <s v="V008"/>
    <d v="2025-02-08T00:00:00"/>
    <s v="C008"/>
    <s v="Sud"/>
    <x v="1"/>
    <n v="55"/>
    <n v="112"/>
    <n v="6160"/>
    <n v="80"/>
    <n v="4400"/>
    <x v="7"/>
    <n v="0.2857142857142857"/>
    <x v="7"/>
    <x v="6"/>
    <s v="Camille Dubois"/>
  </r>
  <r>
    <s v="V009"/>
    <d v="2025-02-11T00:00:00"/>
    <s v="C009"/>
    <s v="Nord"/>
    <x v="2"/>
    <n v="180"/>
    <n v="18"/>
    <n v="3240"/>
    <n v="14"/>
    <n v="2520"/>
    <x v="8"/>
    <n v="0.22222222222222221"/>
    <x v="8"/>
    <x v="0"/>
    <s v="Sophie Lenoir"/>
  </r>
  <r>
    <s v="V010"/>
    <d v="2025-02-14T00:00:00"/>
    <s v="C010"/>
    <s v="Export"/>
    <x v="0"/>
    <n v="200"/>
    <n v="47"/>
    <n v="9400"/>
    <n v="34"/>
    <n v="6800"/>
    <x v="9"/>
    <n v="0.27659574468085107"/>
    <x v="9"/>
    <x v="7"/>
    <s v="Camille Dubois"/>
  </r>
  <r>
    <s v="V011"/>
    <d v="2025-02-18T00:00:00"/>
    <s v="C001"/>
    <s v="Sud"/>
    <x v="1"/>
    <n v="70"/>
    <n v="109"/>
    <n v="7630"/>
    <n v="76"/>
    <n v="5320"/>
    <x v="10"/>
    <n v="0.30275229357798167"/>
    <x v="0"/>
    <x v="0"/>
    <s v="Julien Marchand"/>
  </r>
  <r>
    <s v="V012"/>
    <d v="2025-02-21T00:00:00"/>
    <s v="C002"/>
    <s v="Sud"/>
    <x v="2"/>
    <n v="160"/>
    <n v="18"/>
    <n v="2880"/>
    <n v="13"/>
    <n v="2080"/>
    <x v="11"/>
    <n v="0.27777777777777779"/>
    <x v="1"/>
    <x v="1"/>
    <s v="Camille Dubois"/>
  </r>
  <r>
    <s v="V013"/>
    <d v="2025-02-24T00:00:00"/>
    <s v="C003"/>
    <s v="Nord"/>
    <x v="0"/>
    <n v="95"/>
    <n v="45"/>
    <n v="4275"/>
    <n v="32"/>
    <n v="3040"/>
    <x v="12"/>
    <n v="0.28888888888888886"/>
    <x v="2"/>
    <x v="2"/>
    <s v="Julien Marchand"/>
  </r>
  <r>
    <s v="V014"/>
    <d v="2025-02-27T00:00:00"/>
    <s v="C004"/>
    <s v="Nord"/>
    <x v="1"/>
    <n v="50"/>
    <n v="110"/>
    <n v="5500"/>
    <n v="79"/>
    <n v="3950"/>
    <x v="13"/>
    <n v="0.2818181818181818"/>
    <x v="3"/>
    <x v="3"/>
    <s v="Sophie Lenoir"/>
  </r>
  <r>
    <s v="V015"/>
    <d v="2025-03-02T00:00:00"/>
    <s v="C005"/>
    <s v="Sud"/>
    <x v="2"/>
    <n v="140"/>
    <n v="19"/>
    <n v="2660"/>
    <n v="12"/>
    <n v="1680"/>
    <x v="14"/>
    <n v="0.36842105263157893"/>
    <x v="4"/>
    <x v="0"/>
    <s v="Camille Dubois"/>
  </r>
  <r>
    <s v="V016"/>
    <d v="2025-03-05T00:00:00"/>
    <s v="C006"/>
    <s v="Nord"/>
    <x v="0"/>
    <n v="130"/>
    <n v="44"/>
    <n v="5720"/>
    <n v="31"/>
    <n v="4030"/>
    <x v="15"/>
    <n v="0.29545454545454547"/>
    <x v="5"/>
    <x v="4"/>
    <s v="Sophie Lenoir"/>
  </r>
  <r>
    <s v="V017"/>
    <d v="2025-03-08T00:00:00"/>
    <s v="C007"/>
    <s v="Sud"/>
    <x v="1"/>
    <n v="65"/>
    <n v="111"/>
    <n v="7215"/>
    <n v="77"/>
    <n v="5005"/>
    <x v="16"/>
    <n v="0.30630630630630629"/>
    <x v="6"/>
    <x v="5"/>
    <s v="Julien Marchand"/>
  </r>
  <r>
    <s v="V018"/>
    <d v="2025-03-11T00:00:00"/>
    <s v="C008"/>
    <s v="Sud"/>
    <x v="2"/>
    <n v="190"/>
    <n v="18"/>
    <n v="3420"/>
    <n v="13"/>
    <n v="2470"/>
    <x v="17"/>
    <n v="0.27777777777777779"/>
    <x v="7"/>
    <x v="6"/>
    <s v="Camille Dubois"/>
  </r>
  <r>
    <s v="V019"/>
    <d v="2025-03-14T00:00:00"/>
    <s v="C009"/>
    <s v="Nord"/>
    <x v="0"/>
    <n v="100"/>
    <n v="45"/>
    <n v="4500"/>
    <n v="33"/>
    <n v="3300"/>
    <x v="18"/>
    <n v="0.26666666666666666"/>
    <x v="8"/>
    <x v="0"/>
    <s v="Sophie Lenoir"/>
  </r>
  <r>
    <s v="V020"/>
    <d v="2025-03-17T00:00:00"/>
    <s v="C010"/>
    <s v="Export"/>
    <x v="1"/>
    <n v="40"/>
    <n v="115"/>
    <n v="4600"/>
    <n v="82"/>
    <n v="3280"/>
    <x v="19"/>
    <n v="0.28695652173913044"/>
    <x v="9"/>
    <x v="7"/>
    <s v="Camille Dubois"/>
  </r>
  <r>
    <s v="V021"/>
    <d v="2025-03-21T00:00:00"/>
    <s v="C001"/>
    <s v="Sud"/>
    <x v="2"/>
    <n v="170"/>
    <n v="18"/>
    <n v="3060"/>
    <n v="12"/>
    <n v="2040"/>
    <x v="20"/>
    <n v="0.33333333333333331"/>
    <x v="0"/>
    <x v="0"/>
    <s v="Julien Marchand"/>
  </r>
  <r>
    <s v="V022"/>
    <d v="2025-03-24T00:00:00"/>
    <s v="C002"/>
    <s v="Sud"/>
    <x v="0"/>
    <n v="115"/>
    <n v="44"/>
    <n v="5060"/>
    <n v="31"/>
    <n v="3565"/>
    <x v="21"/>
    <n v="0.29545454545454547"/>
    <x v="1"/>
    <x v="1"/>
    <s v="Camille Dubois"/>
  </r>
  <r>
    <s v="V023"/>
    <d v="2025-03-27T00:00:00"/>
    <s v="C003"/>
    <s v="Nord"/>
    <x v="1"/>
    <n v="58"/>
    <n v="109"/>
    <n v="6322"/>
    <n v="76"/>
    <n v="4408"/>
    <x v="22"/>
    <n v="0.30275229357798167"/>
    <x v="2"/>
    <x v="2"/>
    <s v="Julien Marchand"/>
  </r>
  <r>
    <s v="V024"/>
    <d v="2025-03-30T00:00:00"/>
    <s v="C004"/>
    <s v="Nord"/>
    <x v="2"/>
    <n v="155"/>
    <n v="19"/>
    <n v="2945"/>
    <n v="13"/>
    <n v="2015"/>
    <x v="23"/>
    <n v="0.31578947368421051"/>
    <x v="3"/>
    <x v="3"/>
    <s v="Sophie Lenoir"/>
  </r>
  <r>
    <s v="V025"/>
    <d v="2025-04-03T00:00:00"/>
    <s v="C005"/>
    <s v="Sud"/>
    <x v="0"/>
    <n v="125"/>
    <n v="46"/>
    <n v="5750"/>
    <n v="34"/>
    <n v="4250"/>
    <x v="24"/>
    <n v="0.2608695652173913"/>
    <x v="4"/>
    <x v="0"/>
    <s v="Camille Dubois"/>
  </r>
  <r>
    <s v="V026"/>
    <d v="2025-04-06T00:00:00"/>
    <s v="C006"/>
    <s v="Nord"/>
    <x v="1"/>
    <n v="48"/>
    <n v="110"/>
    <n v="5280"/>
    <n v="78"/>
    <n v="3744"/>
    <x v="25"/>
    <n v="0.29090909090909089"/>
    <x v="5"/>
    <x v="4"/>
    <s v="Sophie Lenoir"/>
  </r>
  <r>
    <s v="V027"/>
    <d v="2025-04-09T00:00:00"/>
    <s v="C007"/>
    <s v="Sud"/>
    <x v="2"/>
    <n v="165"/>
    <n v="18"/>
    <n v="2970"/>
    <n v="13"/>
    <n v="2145"/>
    <x v="26"/>
    <n v="0.27777777777777779"/>
    <x v="6"/>
    <x v="5"/>
    <s v="Julien Marchand"/>
  </r>
  <r>
    <s v="V028"/>
    <d v="2025-04-12T00:00:00"/>
    <s v="C008"/>
    <s v="Sud"/>
    <x v="0"/>
    <n v="105"/>
    <n v="45"/>
    <n v="4725"/>
    <n v="32"/>
    <n v="3360"/>
    <x v="27"/>
    <n v="0.28888888888888886"/>
    <x v="7"/>
    <x v="6"/>
    <s v="Camille Dubois"/>
  </r>
  <r>
    <s v="V029"/>
    <d v="2025-04-15T00:00:00"/>
    <s v="C009"/>
    <s v="Nord"/>
    <x v="1"/>
    <n v="52"/>
    <n v="108"/>
    <n v="5616"/>
    <n v="75"/>
    <n v="3900"/>
    <x v="28"/>
    <n v="0.30555555555555558"/>
    <x v="8"/>
    <x v="0"/>
    <s v="Sophie Lenoir"/>
  </r>
  <r>
    <s v="V030"/>
    <d v="2025-04-18T00:00:00"/>
    <s v="C010"/>
    <s v="Export"/>
    <x v="2"/>
    <n v="210"/>
    <n v="19"/>
    <n v="3990"/>
    <n v="14"/>
    <n v="2940"/>
    <x v="5"/>
    <n v="0.26315789473684209"/>
    <x v="9"/>
    <x v="7"/>
    <s v="Camille Dubois"/>
  </r>
  <r>
    <s v="V031"/>
    <d v="2025-04-22T00:00:00"/>
    <s v="C001"/>
    <s v="Sud"/>
    <x v="0"/>
    <n v="118"/>
    <n v="45"/>
    <n v="5310"/>
    <n v="33"/>
    <n v="3894"/>
    <x v="29"/>
    <n v="0.26666666666666666"/>
    <x v="0"/>
    <x v="0"/>
    <s v="Julien Marchand"/>
  </r>
  <r>
    <s v="V032"/>
    <d v="2025-04-25T00:00:00"/>
    <s v="C002"/>
    <s v="Sud"/>
    <x v="1"/>
    <n v="62"/>
    <n v="112"/>
    <n v="6944"/>
    <n v="79"/>
    <n v="4898"/>
    <x v="30"/>
    <n v="0.29464285714285715"/>
    <x v="1"/>
    <x v="1"/>
    <s v="Camille Dubois"/>
  </r>
  <r>
    <s v="V033"/>
    <d v="2025-04-28T00:00:00"/>
    <s v="C003"/>
    <s v="Nord"/>
    <x v="2"/>
    <n v="145"/>
    <n v="18"/>
    <n v="2610"/>
    <n v="12"/>
    <n v="1740"/>
    <x v="31"/>
    <n v="0.33333333333333331"/>
    <x v="2"/>
    <x v="2"/>
    <s v="Julien Marchand"/>
  </r>
  <r>
    <s v="V034"/>
    <d v="2025-05-02T00:00:00"/>
    <s v="C004"/>
    <s v="Nord"/>
    <x v="0"/>
    <n v="98"/>
    <n v="44"/>
    <n v="4312"/>
    <n v="32"/>
    <n v="3136"/>
    <x v="32"/>
    <n v="0.27272727272727271"/>
    <x v="3"/>
    <x v="3"/>
    <s v="Sophie Lenoir"/>
  </r>
  <r>
    <s v="V035"/>
    <d v="2025-05-05T00:00:00"/>
    <s v="C005"/>
    <s v="Sud"/>
    <x v="1"/>
    <n v="55"/>
    <n v="109"/>
    <n v="5995"/>
    <n v="76"/>
    <n v="4180"/>
    <x v="33"/>
    <n v="0.30275229357798167"/>
    <x v="4"/>
    <x v="0"/>
    <s v="Camille Dubois"/>
  </r>
  <r>
    <s v="V036"/>
    <d v="2025-05-08T00:00:00"/>
    <s v="C006"/>
    <s v="Nord"/>
    <x v="2"/>
    <n v="175"/>
    <n v="19"/>
    <n v="3325"/>
    <n v="13"/>
    <n v="2275"/>
    <x v="5"/>
    <n v="0.31578947368421051"/>
    <x v="5"/>
    <x v="4"/>
    <s v="Sophie Lenoir"/>
  </r>
  <r>
    <s v="V037"/>
    <d v="2025-05-11T00:00:00"/>
    <s v="C007"/>
    <s v="Sud"/>
    <x v="0"/>
    <n v="108"/>
    <n v="45"/>
    <n v="4860"/>
    <n v="33"/>
    <n v="3564"/>
    <x v="34"/>
    <n v="0.26666666666666666"/>
    <x v="6"/>
    <x v="5"/>
    <s v="Julien Marchand"/>
  </r>
  <r>
    <s v="V038"/>
    <d v="2025-05-14T00:00:00"/>
    <s v="C008"/>
    <s v="Sud"/>
    <x v="1"/>
    <n v="45"/>
    <n v="111"/>
    <n v="4995"/>
    <n v="78"/>
    <n v="3510"/>
    <x v="4"/>
    <n v="0.29729729729729731"/>
    <x v="7"/>
    <x v="6"/>
    <s v="Camille Dubois"/>
  </r>
  <r>
    <s v="V039"/>
    <d v="2025-05-17T00:00:00"/>
    <s v="C009"/>
    <s v="Nord"/>
    <x v="2"/>
    <n v="185"/>
    <n v="18"/>
    <n v="3330"/>
    <n v="12"/>
    <n v="2220"/>
    <x v="35"/>
    <n v="0.33333333333333331"/>
    <x v="8"/>
    <x v="0"/>
    <s v="Sophie Lenoir"/>
  </r>
  <r>
    <s v="V040"/>
    <d v="2025-05-20T00:00:00"/>
    <s v="C010"/>
    <s v="Export"/>
    <x v="0"/>
    <n v="195"/>
    <n v="46"/>
    <n v="8970"/>
    <n v="34"/>
    <n v="6630"/>
    <x v="36"/>
    <n v="0.2608695652173913"/>
    <x v="9"/>
    <x v="7"/>
    <s v="Camille Dubois"/>
  </r>
  <r>
    <s v="V041"/>
    <d v="2025-05-24T00:00:00"/>
    <s v="C001"/>
    <s v="Sud"/>
    <x v="1"/>
    <n v="68"/>
    <n v="110"/>
    <n v="7480"/>
    <n v="77"/>
    <n v="5236"/>
    <x v="37"/>
    <n v="0.3"/>
    <x v="0"/>
    <x v="0"/>
    <s v="Julien Marchand"/>
  </r>
  <r>
    <s v="V042"/>
    <d v="2025-05-27T00:00:00"/>
    <s v="C002"/>
    <s v="Sud"/>
    <x v="2"/>
    <n v="158"/>
    <n v="18"/>
    <n v="2844"/>
    <n v="13"/>
    <n v="2054"/>
    <x v="38"/>
    <n v="0.27777777777777779"/>
    <x v="1"/>
    <x v="1"/>
    <s v="Camille Dubois"/>
  </r>
  <r>
    <s v="V043"/>
    <d v="2025-05-30T00:00:00"/>
    <s v="C003"/>
    <s v="Nord"/>
    <x v="0"/>
    <n v="102"/>
    <n v="45"/>
    <n v="4590"/>
    <n v="32"/>
    <n v="3264"/>
    <x v="39"/>
    <n v="0.28888888888888886"/>
    <x v="2"/>
    <x v="2"/>
    <s v="Julien Marchand"/>
  </r>
  <r>
    <s v="V044"/>
    <d v="2025-06-03T00:00:00"/>
    <s v="C004"/>
    <s v="Nord"/>
    <x v="1"/>
    <n v="47"/>
    <n v="109"/>
    <n v="5123"/>
    <n v="76"/>
    <n v="3572"/>
    <x v="40"/>
    <n v="0.30275229357798167"/>
    <x v="3"/>
    <x v="3"/>
    <s v="Sophie Lenoir"/>
  </r>
  <r>
    <s v="V045"/>
    <d v="2025-06-06T00:00:00"/>
    <s v="C005"/>
    <s v="Sud"/>
    <x v="2"/>
    <n v="148"/>
    <n v="19"/>
    <n v="2812"/>
    <n v="13"/>
    <n v="1924"/>
    <x v="41"/>
    <n v="0.31578947368421051"/>
    <x v="4"/>
    <x v="0"/>
    <s v="Camille Dubois"/>
  </r>
  <r>
    <s v="V046"/>
    <d v="2025-06-09T00:00:00"/>
    <s v="C006"/>
    <s v="Nord"/>
    <x v="0"/>
    <n v="122"/>
    <n v="44"/>
    <n v="5368"/>
    <n v="31"/>
    <n v="3782"/>
    <x v="42"/>
    <n v="0.29545454545454547"/>
    <x v="5"/>
    <x v="4"/>
    <s v="Sophie Lenoir"/>
  </r>
  <r>
    <s v="V047"/>
    <d v="2025-06-12T00:00:00"/>
    <s v="C007"/>
    <s v="Sud"/>
    <x v="1"/>
    <n v="58"/>
    <n v="112"/>
    <n v="6496"/>
    <n v="80"/>
    <n v="4640"/>
    <x v="43"/>
    <n v="0.2857142857142857"/>
    <x v="6"/>
    <x v="5"/>
    <s v="Julien Marchand"/>
  </r>
  <r>
    <s v="V048"/>
    <d v="2025-06-15T00:00:00"/>
    <s v="C008"/>
    <s v="Sud"/>
    <x v="2"/>
    <n v="168"/>
    <n v="18"/>
    <n v="3024"/>
    <n v="12"/>
    <n v="2016"/>
    <x v="44"/>
    <n v="0.33333333333333331"/>
    <x v="7"/>
    <x v="6"/>
    <s v="Camille Dubois"/>
  </r>
  <r>
    <s v="V049"/>
    <d v="2025-06-18T00:00:00"/>
    <s v="C009"/>
    <s v="Nord"/>
    <x v="0"/>
    <n v="112"/>
    <n v="45"/>
    <n v="5040"/>
    <n v="33"/>
    <n v="3696"/>
    <x v="45"/>
    <n v="0.26666666666666666"/>
    <x v="8"/>
    <x v="0"/>
    <s v="Sophie Lenoir"/>
  </r>
  <r>
    <s v="V050"/>
    <d v="2025-06-21T00:00:00"/>
    <s v="C010"/>
    <s v="Export"/>
    <x v="1"/>
    <n v="42"/>
    <n v="116"/>
    <n v="4872"/>
    <n v="84"/>
    <n v="3528"/>
    <x v="45"/>
    <n v="0.27586206896551724"/>
    <x v="9"/>
    <x v="7"/>
    <s v="Camille Dubois"/>
  </r>
  <r>
    <s v="V051"/>
    <d v="2025-06-25T00:00:00"/>
    <s v="C001"/>
    <s v="Sud"/>
    <x v="2"/>
    <n v="178"/>
    <n v="18"/>
    <n v="3204"/>
    <n v="13"/>
    <n v="2314"/>
    <x v="46"/>
    <n v="0.27777777777777779"/>
    <x v="0"/>
    <x v="0"/>
    <s v="Julien Marchand"/>
  </r>
  <r>
    <s v="V052"/>
    <d v="2025-06-28T00:00:00"/>
    <s v="C002"/>
    <s v="Sud"/>
    <x v="0"/>
    <n v="128"/>
    <n v="44"/>
    <n v="5632"/>
    <n v="32"/>
    <n v="4096"/>
    <x v="25"/>
    <n v="0.27272727272727271"/>
    <x v="1"/>
    <x v="1"/>
    <s v="Camille Dubois"/>
  </r>
  <r>
    <s v="V053"/>
    <d v="2025-07-01T00:00:00"/>
    <s v="C003"/>
    <s v="Nord"/>
    <x v="1"/>
    <n v="53"/>
    <n v="108"/>
    <n v="5724"/>
    <n v="75"/>
    <n v="3975"/>
    <x v="47"/>
    <n v="0.30555555555555558"/>
    <x v="2"/>
    <x v="2"/>
    <s v="Julien Marchand"/>
  </r>
  <r>
    <s v="V054"/>
    <d v="2025-07-04T00:00:00"/>
    <s v="C004"/>
    <s v="Nord"/>
    <x v="2"/>
    <n v="162"/>
    <n v="19"/>
    <n v="3078"/>
    <n v="12"/>
    <n v="1944"/>
    <x v="48"/>
    <n v="0.36842105263157893"/>
    <x v="3"/>
    <x v="3"/>
    <s v="Sophie Lenoir"/>
  </r>
  <r>
    <s v="V055"/>
    <d v="2025-07-07T00:00:00"/>
    <s v="C005"/>
    <s v="Sud"/>
    <x v="0"/>
    <n v="132"/>
    <n v="46"/>
    <n v="6072"/>
    <n v="34"/>
    <n v="4488"/>
    <x v="49"/>
    <n v="0.2608695652173913"/>
    <x v="4"/>
    <x v="0"/>
    <s v="Camille Dubois"/>
  </r>
  <r>
    <s v="V056"/>
    <d v="2025-07-10T00:00:00"/>
    <s v="C006"/>
    <s v="Nord"/>
    <x v="1"/>
    <n v="44"/>
    <n v="110"/>
    <n v="4840"/>
    <n v="77"/>
    <n v="3388"/>
    <x v="50"/>
    <n v="0.3"/>
    <x v="5"/>
    <x v="4"/>
    <s v="Sophie Lenoir"/>
  </r>
  <r>
    <s v="V057"/>
    <d v="2025-07-13T00:00:00"/>
    <s v="C007"/>
    <s v="Sud"/>
    <x v="2"/>
    <n v="172"/>
    <n v="18"/>
    <n v="3096"/>
    <n v="13"/>
    <n v="2236"/>
    <x v="51"/>
    <n v="0.27777777777777779"/>
    <x v="6"/>
    <x v="5"/>
    <s v="Julien Marchand"/>
  </r>
  <r>
    <s v="V058"/>
    <d v="2025-07-16T00:00:00"/>
    <s v="C008"/>
    <s v="Sud"/>
    <x v="0"/>
    <n v="108"/>
    <n v="45"/>
    <n v="4860"/>
    <n v="32"/>
    <n v="3456"/>
    <x v="52"/>
    <n v="0.28888888888888886"/>
    <x v="7"/>
    <x v="6"/>
    <s v="Camille Dubois"/>
  </r>
  <r>
    <s v="V059"/>
    <d v="2025-07-19T00:00:00"/>
    <s v="C009"/>
    <s v="Nord"/>
    <x v="1"/>
    <n v="50"/>
    <n v="109"/>
    <n v="5450"/>
    <n v="76"/>
    <n v="3800"/>
    <x v="53"/>
    <n v="0.30275229357798167"/>
    <x v="8"/>
    <x v="0"/>
    <s v="Sophie Lenoir"/>
  </r>
  <r>
    <s v="V060"/>
    <d v="2025-07-22T00:00:00"/>
    <s v="C010"/>
    <s v="Export"/>
    <x v="2"/>
    <n v="215"/>
    <n v="19"/>
    <n v="4085"/>
    <n v="14"/>
    <n v="3010"/>
    <x v="54"/>
    <n v="0.26315789473684209"/>
    <x v="9"/>
    <x v="7"/>
    <s v="Camille Duboi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">
  <r>
    <x v="0"/>
    <n v="1"/>
    <x v="0"/>
    <x v="0"/>
    <x v="0"/>
    <n v="1778"/>
    <n v="80010"/>
    <n v="32359.600000000002"/>
    <n v="17424.399999999998"/>
    <n v="6400.8"/>
  </r>
  <r>
    <x v="0"/>
    <n v="1"/>
    <x v="1"/>
    <x v="0"/>
    <x v="0"/>
    <n v="1123"/>
    <n v="50535"/>
    <n v="20438.600000000002"/>
    <n v="11005.4"/>
    <n v="4042.8"/>
  </r>
  <r>
    <x v="0"/>
    <n v="1"/>
    <x v="2"/>
    <x v="0"/>
    <x v="0"/>
    <n v="1030"/>
    <n v="46350"/>
    <n v="18746"/>
    <n v="10094"/>
    <n v="3708"/>
  </r>
  <r>
    <x v="0"/>
    <n v="1"/>
    <x v="3"/>
    <x v="0"/>
    <x v="0"/>
    <n v="749"/>
    <n v="33705"/>
    <n v="13631.800000000001"/>
    <n v="7340.2"/>
    <n v="2696.4"/>
  </r>
  <r>
    <x v="0"/>
    <n v="1"/>
    <x v="0"/>
    <x v="1"/>
    <x v="0"/>
    <n v="212"/>
    <n v="67840"/>
    <n v="28938"/>
    <n v="15581.999999999998"/>
    <n v="5427.2"/>
  </r>
  <r>
    <x v="0"/>
    <n v="1"/>
    <x v="1"/>
    <x v="1"/>
    <x v="0"/>
    <n v="134"/>
    <n v="42880"/>
    <n v="18291"/>
    <n v="9849"/>
    <n v="3430.4"/>
  </r>
  <r>
    <x v="0"/>
    <n v="1"/>
    <x v="2"/>
    <x v="1"/>
    <x v="0"/>
    <n v="123"/>
    <n v="39360"/>
    <n v="16789.5"/>
    <n v="9040.5"/>
    <n v="3148.8"/>
  </r>
  <r>
    <x v="0"/>
    <n v="1"/>
    <x v="3"/>
    <x v="1"/>
    <x v="0"/>
    <n v="89"/>
    <n v="28480"/>
    <n v="12148.5"/>
    <n v="6541.5"/>
    <n v="2278.4"/>
  </r>
  <r>
    <x v="0"/>
    <n v="1"/>
    <x v="0"/>
    <x v="2"/>
    <x v="0"/>
    <n v="130"/>
    <n v="19500"/>
    <n v="7605"/>
    <n v="4094.9999999999995"/>
    <n v="1560"/>
  </r>
  <r>
    <x v="0"/>
    <n v="1"/>
    <x v="1"/>
    <x v="2"/>
    <x v="0"/>
    <n v="82"/>
    <n v="12300"/>
    <n v="4797"/>
    <n v="2583"/>
    <n v="984"/>
  </r>
  <r>
    <x v="0"/>
    <n v="1"/>
    <x v="2"/>
    <x v="2"/>
    <x v="0"/>
    <n v="75"/>
    <n v="11250"/>
    <n v="4387.5"/>
    <n v="2362.5"/>
    <n v="900"/>
  </r>
  <r>
    <x v="0"/>
    <n v="1"/>
    <x v="3"/>
    <x v="2"/>
    <x v="0"/>
    <n v="55"/>
    <n v="8250"/>
    <n v="3217.5"/>
    <n v="1732.5"/>
    <n v="660"/>
  </r>
  <r>
    <x v="1"/>
    <n v="2"/>
    <x v="0"/>
    <x v="0"/>
    <x v="0"/>
    <n v="1818"/>
    <n v="81810"/>
    <n v="33087.599999999999"/>
    <n v="17816.399999999998"/>
    <n v="6544.8"/>
  </r>
  <r>
    <x v="1"/>
    <n v="2"/>
    <x v="1"/>
    <x v="0"/>
    <x v="0"/>
    <n v="1148"/>
    <n v="51660"/>
    <n v="20893.600000000002"/>
    <n v="11250.4"/>
    <n v="4132.8"/>
  </r>
  <r>
    <x v="1"/>
    <n v="2"/>
    <x v="2"/>
    <x v="0"/>
    <x v="0"/>
    <n v="1052"/>
    <n v="47340"/>
    <n v="19146.400000000001"/>
    <n v="10309.599999999999"/>
    <n v="3787.2000000000003"/>
  </r>
  <r>
    <x v="1"/>
    <n v="2"/>
    <x v="3"/>
    <x v="0"/>
    <x v="0"/>
    <n v="765"/>
    <n v="34425"/>
    <n v="13923"/>
    <n v="7496.9999999999991"/>
    <n v="2754"/>
  </r>
  <r>
    <x v="1"/>
    <n v="2"/>
    <x v="0"/>
    <x v="1"/>
    <x v="0"/>
    <n v="217"/>
    <n v="69440"/>
    <n v="29620.5"/>
    <n v="15949.499999999998"/>
    <n v="5555.2"/>
  </r>
  <r>
    <x v="1"/>
    <n v="2"/>
    <x v="1"/>
    <x v="1"/>
    <x v="0"/>
    <n v="137"/>
    <n v="43840"/>
    <n v="18700.5"/>
    <n v="10069.5"/>
    <n v="3507.2000000000003"/>
  </r>
  <r>
    <x v="1"/>
    <n v="2"/>
    <x v="2"/>
    <x v="1"/>
    <x v="0"/>
    <n v="125"/>
    <n v="40000"/>
    <n v="17062.5"/>
    <n v="9187.5"/>
    <n v="3200"/>
  </r>
  <r>
    <x v="1"/>
    <n v="2"/>
    <x v="3"/>
    <x v="1"/>
    <x v="0"/>
    <n v="91"/>
    <n v="29120"/>
    <n v="12421.5"/>
    <n v="6688.5"/>
    <n v="2329.6"/>
  </r>
  <r>
    <x v="1"/>
    <n v="2"/>
    <x v="0"/>
    <x v="2"/>
    <x v="0"/>
    <n v="133"/>
    <n v="19950"/>
    <n v="7780.5"/>
    <n v="4189.5"/>
    <n v="1596"/>
  </r>
  <r>
    <x v="1"/>
    <n v="2"/>
    <x v="1"/>
    <x v="2"/>
    <x v="0"/>
    <n v="84"/>
    <n v="12600"/>
    <n v="4914"/>
    <n v="2646"/>
    <n v="1008"/>
  </r>
  <r>
    <x v="1"/>
    <n v="2"/>
    <x v="2"/>
    <x v="2"/>
    <x v="0"/>
    <n v="77"/>
    <n v="11550"/>
    <n v="4504.5"/>
    <n v="2425.5"/>
    <n v="924"/>
  </r>
  <r>
    <x v="1"/>
    <n v="2"/>
    <x v="3"/>
    <x v="2"/>
    <x v="0"/>
    <n v="56"/>
    <n v="8400"/>
    <n v="3276"/>
    <n v="1764"/>
    <n v="672"/>
  </r>
  <r>
    <x v="2"/>
    <n v="3"/>
    <x v="0"/>
    <x v="0"/>
    <x v="0"/>
    <n v="1976"/>
    <n v="88920"/>
    <n v="35963.200000000004"/>
    <n v="19364.8"/>
    <n v="7113.6"/>
  </r>
  <r>
    <x v="2"/>
    <n v="3"/>
    <x v="1"/>
    <x v="0"/>
    <x v="0"/>
    <n v="1248"/>
    <n v="56160"/>
    <n v="22713.600000000002"/>
    <n v="12230.4"/>
    <n v="4492.8"/>
  </r>
  <r>
    <x v="2"/>
    <n v="3"/>
    <x v="2"/>
    <x v="0"/>
    <x v="0"/>
    <n v="1144"/>
    <n v="51480"/>
    <n v="20820.8"/>
    <n v="11211.199999999999"/>
    <n v="4118.3999999999996"/>
  </r>
  <r>
    <x v="2"/>
    <n v="3"/>
    <x v="3"/>
    <x v="0"/>
    <x v="0"/>
    <n v="832"/>
    <n v="37440"/>
    <n v="15142.4"/>
    <n v="8153.5999999999995"/>
    <n v="2995.2000000000003"/>
  </r>
  <r>
    <x v="2"/>
    <n v="3"/>
    <x v="0"/>
    <x v="1"/>
    <x v="0"/>
    <n v="236"/>
    <n v="75520"/>
    <n v="32214"/>
    <n v="17346"/>
    <n v="6041.6"/>
  </r>
  <r>
    <x v="2"/>
    <n v="3"/>
    <x v="1"/>
    <x v="1"/>
    <x v="0"/>
    <n v="149"/>
    <n v="47680"/>
    <n v="20338.5"/>
    <n v="10951.5"/>
    <n v="3814.4"/>
  </r>
  <r>
    <x v="2"/>
    <n v="3"/>
    <x v="2"/>
    <x v="1"/>
    <x v="0"/>
    <n v="136"/>
    <n v="43520"/>
    <n v="18564"/>
    <n v="9996"/>
    <n v="3481.6"/>
  </r>
  <r>
    <x v="2"/>
    <n v="3"/>
    <x v="3"/>
    <x v="1"/>
    <x v="0"/>
    <n v="99"/>
    <n v="31680"/>
    <n v="13513.5"/>
    <n v="7276.4999999999991"/>
    <n v="2534.4"/>
  </r>
  <r>
    <x v="2"/>
    <n v="3"/>
    <x v="0"/>
    <x v="2"/>
    <x v="0"/>
    <n v="144"/>
    <n v="21600"/>
    <n v="8424"/>
    <n v="4536"/>
    <n v="1728"/>
  </r>
  <r>
    <x v="2"/>
    <n v="3"/>
    <x v="1"/>
    <x v="2"/>
    <x v="0"/>
    <n v="91"/>
    <n v="13650"/>
    <n v="5323.5"/>
    <n v="2866.5"/>
    <n v="1092"/>
  </r>
  <r>
    <x v="2"/>
    <n v="3"/>
    <x v="2"/>
    <x v="2"/>
    <x v="0"/>
    <n v="84"/>
    <n v="12600"/>
    <n v="4914"/>
    <n v="2646"/>
    <n v="1008"/>
  </r>
  <r>
    <x v="2"/>
    <n v="3"/>
    <x v="3"/>
    <x v="2"/>
    <x v="0"/>
    <n v="61"/>
    <n v="9150"/>
    <n v="3568.5"/>
    <n v="1921.4999999999998"/>
    <n v="732"/>
  </r>
  <r>
    <x v="3"/>
    <n v="4"/>
    <x v="0"/>
    <x v="0"/>
    <x v="0"/>
    <n v="2016"/>
    <n v="90720"/>
    <n v="36691.200000000004"/>
    <n v="19756.8"/>
    <n v="7257.6"/>
  </r>
  <r>
    <x v="3"/>
    <n v="4"/>
    <x v="1"/>
    <x v="0"/>
    <x v="0"/>
    <n v="1273"/>
    <n v="57285"/>
    <n v="23168.600000000002"/>
    <n v="12475.4"/>
    <n v="4582.8"/>
  </r>
  <r>
    <x v="3"/>
    <n v="4"/>
    <x v="2"/>
    <x v="0"/>
    <x v="0"/>
    <n v="1167"/>
    <n v="52515"/>
    <n v="21239.4"/>
    <n v="11436.599999999999"/>
    <n v="4201.2"/>
  </r>
  <r>
    <x v="3"/>
    <n v="4"/>
    <x v="3"/>
    <x v="0"/>
    <x v="0"/>
    <n v="849"/>
    <n v="38205"/>
    <n v="15451.800000000001"/>
    <n v="8320.1999999999989"/>
    <n v="3056.4"/>
  </r>
  <r>
    <x v="3"/>
    <n v="4"/>
    <x v="0"/>
    <x v="1"/>
    <x v="0"/>
    <n v="240"/>
    <n v="76800"/>
    <n v="32760"/>
    <n v="17640"/>
    <n v="6144"/>
  </r>
  <r>
    <x v="3"/>
    <n v="4"/>
    <x v="1"/>
    <x v="1"/>
    <x v="0"/>
    <n v="152"/>
    <n v="48640"/>
    <n v="20748"/>
    <n v="11172"/>
    <n v="3891.2000000000003"/>
  </r>
  <r>
    <x v="3"/>
    <n v="4"/>
    <x v="2"/>
    <x v="1"/>
    <x v="0"/>
    <n v="139"/>
    <n v="44480"/>
    <n v="18973.5"/>
    <n v="10216.5"/>
    <n v="3558.4"/>
  </r>
  <r>
    <x v="3"/>
    <n v="4"/>
    <x v="3"/>
    <x v="1"/>
    <x v="0"/>
    <n v="101"/>
    <n v="32320"/>
    <n v="13786.5"/>
    <n v="7423.4999999999991"/>
    <n v="2585.6"/>
  </r>
  <r>
    <x v="3"/>
    <n v="4"/>
    <x v="0"/>
    <x v="2"/>
    <x v="0"/>
    <n v="147"/>
    <n v="22050"/>
    <n v="8599.5"/>
    <n v="4630.5"/>
    <n v="1764"/>
  </r>
  <r>
    <x v="3"/>
    <n v="4"/>
    <x v="1"/>
    <x v="2"/>
    <x v="0"/>
    <n v="93"/>
    <n v="13950"/>
    <n v="5440.5"/>
    <n v="2929.5"/>
    <n v="1116"/>
  </r>
  <r>
    <x v="3"/>
    <n v="4"/>
    <x v="2"/>
    <x v="2"/>
    <x v="0"/>
    <n v="85"/>
    <n v="12750"/>
    <n v="4972.5"/>
    <n v="2677.5"/>
    <n v="1020"/>
  </r>
  <r>
    <x v="3"/>
    <n v="4"/>
    <x v="3"/>
    <x v="2"/>
    <x v="0"/>
    <n v="62"/>
    <n v="9300"/>
    <n v="3627"/>
    <n v="1952.9999999999998"/>
    <n v="744"/>
  </r>
  <r>
    <x v="4"/>
    <n v="5"/>
    <x v="0"/>
    <x v="0"/>
    <x v="0"/>
    <n v="2035"/>
    <n v="91575"/>
    <n v="37037"/>
    <n v="19943"/>
    <n v="7326"/>
  </r>
  <r>
    <x v="4"/>
    <n v="5"/>
    <x v="1"/>
    <x v="0"/>
    <x v="0"/>
    <n v="1285"/>
    <n v="57825"/>
    <n v="23387"/>
    <n v="12593"/>
    <n v="4626"/>
  </r>
  <r>
    <x v="4"/>
    <n v="5"/>
    <x v="2"/>
    <x v="0"/>
    <x v="0"/>
    <n v="1178"/>
    <n v="53010"/>
    <n v="21439.600000000002"/>
    <n v="11544.4"/>
    <n v="4240.8"/>
  </r>
  <r>
    <x v="4"/>
    <n v="5"/>
    <x v="3"/>
    <x v="0"/>
    <x v="0"/>
    <n v="857"/>
    <n v="38565"/>
    <n v="15597.4"/>
    <n v="8398.6"/>
    <n v="3085.2000000000003"/>
  </r>
  <r>
    <x v="4"/>
    <n v="5"/>
    <x v="0"/>
    <x v="1"/>
    <x v="0"/>
    <n v="243"/>
    <n v="77760"/>
    <n v="33169.5"/>
    <n v="17860.5"/>
    <n v="6220.8"/>
  </r>
  <r>
    <x v="4"/>
    <n v="5"/>
    <x v="1"/>
    <x v="1"/>
    <x v="0"/>
    <n v="153"/>
    <n v="48960"/>
    <n v="20884.5"/>
    <n v="11245.5"/>
    <n v="3916.8"/>
  </r>
  <r>
    <x v="4"/>
    <n v="5"/>
    <x v="2"/>
    <x v="1"/>
    <x v="0"/>
    <n v="140"/>
    <n v="44800"/>
    <n v="19110"/>
    <n v="10290"/>
    <n v="3584"/>
  </r>
  <r>
    <x v="4"/>
    <n v="5"/>
    <x v="3"/>
    <x v="1"/>
    <x v="0"/>
    <n v="102"/>
    <n v="32640"/>
    <n v="13923"/>
    <n v="7496.9999999999991"/>
    <n v="2611.2000000000003"/>
  </r>
  <r>
    <x v="4"/>
    <n v="5"/>
    <x v="0"/>
    <x v="2"/>
    <x v="0"/>
    <n v="149"/>
    <n v="22350"/>
    <n v="8716.5"/>
    <n v="4693.5"/>
    <n v="1788"/>
  </r>
  <r>
    <x v="4"/>
    <n v="5"/>
    <x v="1"/>
    <x v="2"/>
    <x v="0"/>
    <n v="94"/>
    <n v="14100"/>
    <n v="5499"/>
    <n v="2961"/>
    <n v="1128"/>
  </r>
  <r>
    <x v="4"/>
    <n v="5"/>
    <x v="2"/>
    <x v="2"/>
    <x v="0"/>
    <n v="86"/>
    <n v="12900"/>
    <n v="5031"/>
    <n v="2709"/>
    <n v="1032"/>
  </r>
  <r>
    <x v="4"/>
    <n v="5"/>
    <x v="3"/>
    <x v="2"/>
    <x v="0"/>
    <n v="63"/>
    <n v="9450"/>
    <n v="3685.5"/>
    <n v="1984.4999999999998"/>
    <n v="756"/>
  </r>
  <r>
    <x v="5"/>
    <n v="6"/>
    <x v="0"/>
    <x v="0"/>
    <x v="0"/>
    <n v="2075"/>
    <n v="93375"/>
    <n v="37765"/>
    <n v="20335"/>
    <n v="7470"/>
  </r>
  <r>
    <x v="5"/>
    <n v="6"/>
    <x v="1"/>
    <x v="0"/>
    <x v="0"/>
    <n v="1310"/>
    <n v="58950"/>
    <n v="23842"/>
    <n v="12838"/>
    <n v="4716"/>
  </r>
  <r>
    <x v="5"/>
    <n v="6"/>
    <x v="2"/>
    <x v="0"/>
    <x v="0"/>
    <n v="1201"/>
    <n v="54045"/>
    <n v="21858.2"/>
    <n v="11769.8"/>
    <n v="4323.6000000000004"/>
  </r>
  <r>
    <x v="5"/>
    <n v="6"/>
    <x v="3"/>
    <x v="0"/>
    <x v="0"/>
    <n v="874"/>
    <n v="39330"/>
    <n v="15906.800000000001"/>
    <n v="8565.1999999999989"/>
    <n v="3146.4"/>
  </r>
  <r>
    <x v="5"/>
    <n v="6"/>
    <x v="0"/>
    <x v="1"/>
    <x v="0"/>
    <n v="247"/>
    <n v="79040"/>
    <n v="33715.5"/>
    <n v="18154.5"/>
    <n v="6323.2"/>
  </r>
  <r>
    <x v="5"/>
    <n v="6"/>
    <x v="1"/>
    <x v="1"/>
    <x v="0"/>
    <n v="156"/>
    <n v="49920"/>
    <n v="21294"/>
    <n v="11466"/>
    <n v="3993.6"/>
  </r>
  <r>
    <x v="5"/>
    <n v="6"/>
    <x v="2"/>
    <x v="1"/>
    <x v="0"/>
    <n v="143"/>
    <n v="45760"/>
    <n v="19519.5"/>
    <n v="10510.5"/>
    <n v="3660.8"/>
  </r>
  <r>
    <x v="5"/>
    <n v="6"/>
    <x v="3"/>
    <x v="1"/>
    <x v="0"/>
    <n v="104"/>
    <n v="33280"/>
    <n v="14196"/>
    <n v="7643.9999999999991"/>
    <n v="2662.4"/>
  </r>
  <r>
    <x v="5"/>
    <n v="6"/>
    <x v="0"/>
    <x v="2"/>
    <x v="0"/>
    <n v="152"/>
    <n v="22800"/>
    <n v="8892"/>
    <n v="4788"/>
    <n v="1824"/>
  </r>
  <r>
    <x v="5"/>
    <n v="6"/>
    <x v="1"/>
    <x v="2"/>
    <x v="0"/>
    <n v="96"/>
    <n v="14400"/>
    <n v="5616"/>
    <n v="3024"/>
    <n v="1152"/>
  </r>
  <r>
    <x v="5"/>
    <n v="6"/>
    <x v="2"/>
    <x v="2"/>
    <x v="0"/>
    <n v="88"/>
    <n v="13200"/>
    <n v="5148"/>
    <n v="2772"/>
    <n v="1056"/>
  </r>
  <r>
    <x v="5"/>
    <n v="6"/>
    <x v="3"/>
    <x v="2"/>
    <x v="0"/>
    <n v="64"/>
    <n v="9600"/>
    <n v="3744"/>
    <n v="2015.9999999999998"/>
    <n v="768"/>
  </r>
  <r>
    <x v="6"/>
    <n v="7"/>
    <x v="0"/>
    <x v="0"/>
    <x v="0"/>
    <n v="1877"/>
    <n v="84465"/>
    <n v="34161.4"/>
    <n v="18394.599999999999"/>
    <n v="6757.2"/>
  </r>
  <r>
    <x v="6"/>
    <n v="7"/>
    <x v="1"/>
    <x v="0"/>
    <x v="0"/>
    <n v="1186"/>
    <n v="53370"/>
    <n v="21585.200000000001"/>
    <n v="11622.8"/>
    <n v="4269.6000000000004"/>
  </r>
  <r>
    <x v="6"/>
    <n v="7"/>
    <x v="2"/>
    <x v="0"/>
    <x v="0"/>
    <n v="1087"/>
    <n v="48915"/>
    <n v="19783.400000000001"/>
    <n v="10652.599999999999"/>
    <n v="3913.2000000000003"/>
  </r>
  <r>
    <x v="6"/>
    <n v="7"/>
    <x v="3"/>
    <x v="0"/>
    <x v="0"/>
    <n v="790"/>
    <n v="35550"/>
    <n v="14378"/>
    <n v="7741.9999999999991"/>
    <n v="2844"/>
  </r>
  <r>
    <x v="6"/>
    <n v="7"/>
    <x v="0"/>
    <x v="1"/>
    <x v="0"/>
    <n v="224"/>
    <n v="71680"/>
    <n v="30576"/>
    <n v="16464"/>
    <n v="5734.4000000000005"/>
  </r>
  <r>
    <x v="6"/>
    <n v="7"/>
    <x v="1"/>
    <x v="1"/>
    <x v="0"/>
    <n v="141"/>
    <n v="45120"/>
    <n v="19246.5"/>
    <n v="10363.5"/>
    <n v="3609.6"/>
  </r>
  <r>
    <x v="6"/>
    <n v="7"/>
    <x v="2"/>
    <x v="1"/>
    <x v="0"/>
    <n v="130"/>
    <n v="41600"/>
    <n v="17745"/>
    <n v="9555"/>
    <n v="3328"/>
  </r>
  <r>
    <x v="6"/>
    <n v="7"/>
    <x v="3"/>
    <x v="1"/>
    <x v="0"/>
    <n v="94"/>
    <n v="30080"/>
    <n v="12831"/>
    <n v="6909"/>
    <n v="2406.4"/>
  </r>
  <r>
    <x v="6"/>
    <n v="7"/>
    <x v="0"/>
    <x v="2"/>
    <x v="0"/>
    <n v="137"/>
    <n v="20550"/>
    <n v="8014.5"/>
    <n v="4315.5"/>
    <n v="1644"/>
  </r>
  <r>
    <x v="6"/>
    <n v="7"/>
    <x v="1"/>
    <x v="2"/>
    <x v="0"/>
    <n v="87"/>
    <n v="13050"/>
    <n v="5089.5"/>
    <n v="2740.5"/>
    <n v="1044"/>
  </r>
  <r>
    <x v="6"/>
    <n v="7"/>
    <x v="2"/>
    <x v="2"/>
    <x v="0"/>
    <n v="79"/>
    <n v="11850"/>
    <n v="4621.5"/>
    <n v="2488.5"/>
    <n v="948"/>
  </r>
  <r>
    <x v="6"/>
    <n v="7"/>
    <x v="3"/>
    <x v="2"/>
    <x v="0"/>
    <n v="58"/>
    <n v="8700"/>
    <n v="3393"/>
    <n v="1826.9999999999998"/>
    <n v="696"/>
  </r>
  <r>
    <x v="7"/>
    <n v="8"/>
    <x v="0"/>
    <x v="0"/>
    <x v="0"/>
    <n v="1087"/>
    <n v="48915"/>
    <n v="19783.400000000001"/>
    <n v="10652.599999999999"/>
    <n v="3913.2000000000003"/>
  </r>
  <r>
    <x v="7"/>
    <n v="8"/>
    <x v="1"/>
    <x v="0"/>
    <x v="0"/>
    <n v="686"/>
    <n v="30870"/>
    <n v="12485.2"/>
    <n v="6722.7999999999993"/>
    <n v="2469.6"/>
  </r>
  <r>
    <x v="7"/>
    <n v="8"/>
    <x v="2"/>
    <x v="0"/>
    <x v="0"/>
    <n v="629"/>
    <n v="28305"/>
    <n v="11447.800000000001"/>
    <n v="6164.2"/>
    <n v="2264.4"/>
  </r>
  <r>
    <x v="7"/>
    <n v="8"/>
    <x v="3"/>
    <x v="0"/>
    <x v="0"/>
    <n v="458"/>
    <n v="20610"/>
    <n v="8335.6"/>
    <n v="4488.3999999999996"/>
    <n v="1648.8"/>
  </r>
  <r>
    <x v="7"/>
    <n v="8"/>
    <x v="0"/>
    <x v="1"/>
    <x v="0"/>
    <n v="130"/>
    <n v="41600"/>
    <n v="17745"/>
    <n v="9555"/>
    <n v="3328"/>
  </r>
  <r>
    <x v="7"/>
    <n v="8"/>
    <x v="1"/>
    <x v="1"/>
    <x v="0"/>
    <n v="82"/>
    <n v="26240"/>
    <n v="11193"/>
    <n v="6027"/>
    <n v="2099.1999999999998"/>
  </r>
  <r>
    <x v="7"/>
    <n v="8"/>
    <x v="2"/>
    <x v="1"/>
    <x v="0"/>
    <n v="75"/>
    <n v="24000"/>
    <n v="10237.5"/>
    <n v="5512.5"/>
    <n v="1920"/>
  </r>
  <r>
    <x v="7"/>
    <n v="8"/>
    <x v="3"/>
    <x v="1"/>
    <x v="0"/>
    <n v="55"/>
    <n v="17600"/>
    <n v="7507.5"/>
    <n v="4042.4999999999995"/>
    <n v="1408"/>
  </r>
  <r>
    <x v="7"/>
    <n v="8"/>
    <x v="0"/>
    <x v="2"/>
    <x v="0"/>
    <n v="79"/>
    <n v="11850"/>
    <n v="4621.5"/>
    <n v="2488.5"/>
    <n v="948"/>
  </r>
  <r>
    <x v="7"/>
    <n v="8"/>
    <x v="1"/>
    <x v="2"/>
    <x v="0"/>
    <n v="50"/>
    <n v="7500"/>
    <n v="2925"/>
    <n v="1575"/>
    <n v="600"/>
  </r>
  <r>
    <x v="7"/>
    <n v="8"/>
    <x v="2"/>
    <x v="2"/>
    <x v="0"/>
    <n v="46"/>
    <n v="6900"/>
    <n v="2691"/>
    <n v="1449"/>
    <n v="552"/>
  </r>
  <r>
    <x v="7"/>
    <n v="8"/>
    <x v="3"/>
    <x v="2"/>
    <x v="0"/>
    <n v="33"/>
    <n v="4950"/>
    <n v="1930.5"/>
    <n v="1039.5"/>
    <n v="396"/>
  </r>
  <r>
    <x v="8"/>
    <n v="9"/>
    <x v="0"/>
    <x v="0"/>
    <x v="0"/>
    <n v="1976"/>
    <n v="88920"/>
    <n v="35963.200000000004"/>
    <n v="19364.8"/>
    <n v="7113.6"/>
  </r>
  <r>
    <x v="8"/>
    <n v="9"/>
    <x v="1"/>
    <x v="0"/>
    <x v="0"/>
    <n v="1248"/>
    <n v="56160"/>
    <n v="22713.600000000002"/>
    <n v="12230.4"/>
    <n v="4492.8"/>
  </r>
  <r>
    <x v="8"/>
    <n v="9"/>
    <x v="2"/>
    <x v="0"/>
    <x v="0"/>
    <n v="1144"/>
    <n v="51480"/>
    <n v="20820.8"/>
    <n v="11211.199999999999"/>
    <n v="4118.3999999999996"/>
  </r>
  <r>
    <x v="8"/>
    <n v="9"/>
    <x v="3"/>
    <x v="0"/>
    <x v="0"/>
    <n v="832"/>
    <n v="37440"/>
    <n v="15142.4"/>
    <n v="8153.5999999999995"/>
    <n v="2995.2000000000003"/>
  </r>
  <r>
    <x v="8"/>
    <n v="9"/>
    <x v="0"/>
    <x v="1"/>
    <x v="0"/>
    <n v="236"/>
    <n v="75520"/>
    <n v="32214"/>
    <n v="17346"/>
    <n v="6041.6"/>
  </r>
  <r>
    <x v="8"/>
    <n v="9"/>
    <x v="1"/>
    <x v="1"/>
    <x v="0"/>
    <n v="149"/>
    <n v="47680"/>
    <n v="20338.5"/>
    <n v="10951.5"/>
    <n v="3814.4"/>
  </r>
  <r>
    <x v="8"/>
    <n v="9"/>
    <x v="2"/>
    <x v="1"/>
    <x v="0"/>
    <n v="136"/>
    <n v="43520"/>
    <n v="18564"/>
    <n v="9996"/>
    <n v="3481.6"/>
  </r>
  <r>
    <x v="8"/>
    <n v="9"/>
    <x v="3"/>
    <x v="1"/>
    <x v="0"/>
    <n v="99"/>
    <n v="31680"/>
    <n v="13513.5"/>
    <n v="7276.4999999999991"/>
    <n v="2534.4"/>
  </r>
  <r>
    <x v="8"/>
    <n v="9"/>
    <x v="0"/>
    <x v="2"/>
    <x v="0"/>
    <n v="144"/>
    <n v="21600"/>
    <n v="8424"/>
    <n v="4536"/>
    <n v="1728"/>
  </r>
  <r>
    <x v="8"/>
    <n v="9"/>
    <x v="1"/>
    <x v="2"/>
    <x v="0"/>
    <n v="91"/>
    <n v="13650"/>
    <n v="5323.5"/>
    <n v="2866.5"/>
    <n v="1092"/>
  </r>
  <r>
    <x v="8"/>
    <n v="9"/>
    <x v="2"/>
    <x v="2"/>
    <x v="0"/>
    <n v="84"/>
    <n v="12600"/>
    <n v="4914"/>
    <n v="2646"/>
    <n v="1008"/>
  </r>
  <r>
    <x v="8"/>
    <n v="9"/>
    <x v="3"/>
    <x v="2"/>
    <x v="0"/>
    <n v="61"/>
    <n v="9150"/>
    <n v="3568.5"/>
    <n v="1921.4999999999998"/>
    <n v="732"/>
  </r>
  <r>
    <x v="9"/>
    <n v="10"/>
    <x v="0"/>
    <x v="0"/>
    <x v="0"/>
    <n v="2134"/>
    <n v="96030"/>
    <n v="38838.800000000003"/>
    <n v="20913.199999999997"/>
    <n v="7682.4000000000005"/>
  </r>
  <r>
    <x v="9"/>
    <n v="10"/>
    <x v="1"/>
    <x v="0"/>
    <x v="0"/>
    <n v="1348"/>
    <n v="60660"/>
    <n v="24533.600000000002"/>
    <n v="13210.4"/>
    <n v="4852.8"/>
  </r>
  <r>
    <x v="9"/>
    <n v="10"/>
    <x v="2"/>
    <x v="0"/>
    <x v="0"/>
    <n v="1236"/>
    <n v="55620"/>
    <n v="22495.200000000001"/>
    <n v="12112.8"/>
    <n v="4449.6000000000004"/>
  </r>
  <r>
    <x v="9"/>
    <n v="10"/>
    <x v="3"/>
    <x v="0"/>
    <x v="0"/>
    <n v="899"/>
    <n v="40455"/>
    <n v="16361.800000000001"/>
    <n v="8810.1999999999989"/>
    <n v="3236.4"/>
  </r>
  <r>
    <x v="9"/>
    <n v="10"/>
    <x v="0"/>
    <x v="1"/>
    <x v="0"/>
    <n v="254"/>
    <n v="81280"/>
    <n v="34671"/>
    <n v="18669"/>
    <n v="6502.4000000000005"/>
  </r>
  <r>
    <x v="9"/>
    <n v="10"/>
    <x v="1"/>
    <x v="1"/>
    <x v="0"/>
    <n v="161"/>
    <n v="51520"/>
    <n v="21976.5"/>
    <n v="11833.5"/>
    <n v="4121.6000000000004"/>
  </r>
  <r>
    <x v="9"/>
    <n v="10"/>
    <x v="2"/>
    <x v="1"/>
    <x v="0"/>
    <n v="147"/>
    <n v="47040"/>
    <n v="20065.5"/>
    <n v="10804.5"/>
    <n v="3763.2000000000003"/>
  </r>
  <r>
    <x v="9"/>
    <n v="10"/>
    <x v="3"/>
    <x v="1"/>
    <x v="0"/>
    <n v="107"/>
    <n v="34240"/>
    <n v="14605.5"/>
    <n v="7864.4999999999991"/>
    <n v="2739.2000000000003"/>
  </r>
  <r>
    <x v="9"/>
    <n v="10"/>
    <x v="0"/>
    <x v="2"/>
    <x v="0"/>
    <n v="156"/>
    <n v="23400"/>
    <n v="9126"/>
    <n v="4914"/>
    <n v="1872"/>
  </r>
  <r>
    <x v="9"/>
    <n v="10"/>
    <x v="1"/>
    <x v="2"/>
    <x v="0"/>
    <n v="98"/>
    <n v="14700"/>
    <n v="5733"/>
    <n v="3087"/>
    <n v="1176"/>
  </r>
  <r>
    <x v="9"/>
    <n v="10"/>
    <x v="2"/>
    <x v="2"/>
    <x v="0"/>
    <n v="90"/>
    <n v="13500"/>
    <n v="5265"/>
    <n v="2835"/>
    <n v="1080"/>
  </r>
  <r>
    <x v="9"/>
    <n v="10"/>
    <x v="3"/>
    <x v="2"/>
    <x v="0"/>
    <n v="66"/>
    <n v="9900"/>
    <n v="3861"/>
    <n v="2079"/>
    <n v="792"/>
  </r>
  <r>
    <x v="10"/>
    <n v="11"/>
    <x v="0"/>
    <x v="0"/>
    <x v="0"/>
    <n v="2213"/>
    <n v="99585"/>
    <n v="40276.6"/>
    <n v="21687.399999999998"/>
    <n v="7966.8"/>
  </r>
  <r>
    <x v="10"/>
    <n v="11"/>
    <x v="1"/>
    <x v="0"/>
    <x v="0"/>
    <n v="1398"/>
    <n v="62910"/>
    <n v="25443.600000000002"/>
    <n v="13700.4"/>
    <n v="5032.8"/>
  </r>
  <r>
    <x v="10"/>
    <n v="11"/>
    <x v="2"/>
    <x v="0"/>
    <x v="0"/>
    <n v="1281"/>
    <n v="57645"/>
    <n v="23314.2"/>
    <n v="12553.8"/>
    <n v="4611.6000000000004"/>
  </r>
  <r>
    <x v="10"/>
    <n v="11"/>
    <x v="3"/>
    <x v="0"/>
    <x v="0"/>
    <n v="932"/>
    <n v="41940"/>
    <n v="16962.400000000001"/>
    <n v="9133.5999999999985"/>
    <n v="3355.2000000000003"/>
  </r>
  <r>
    <x v="10"/>
    <n v="11"/>
    <x v="0"/>
    <x v="1"/>
    <x v="0"/>
    <n v="264"/>
    <n v="84480"/>
    <n v="36036"/>
    <n v="19404"/>
    <n v="6758.4000000000005"/>
  </r>
  <r>
    <x v="10"/>
    <n v="11"/>
    <x v="1"/>
    <x v="1"/>
    <x v="0"/>
    <n v="167"/>
    <n v="53440"/>
    <n v="22795.5"/>
    <n v="12274.5"/>
    <n v="4275.2"/>
  </r>
  <r>
    <x v="10"/>
    <n v="11"/>
    <x v="2"/>
    <x v="1"/>
    <x v="0"/>
    <n v="153"/>
    <n v="48960"/>
    <n v="20884.5"/>
    <n v="11245.5"/>
    <n v="3916.8"/>
  </r>
  <r>
    <x v="10"/>
    <n v="11"/>
    <x v="3"/>
    <x v="1"/>
    <x v="0"/>
    <n v="111"/>
    <n v="35520"/>
    <n v="15151.5"/>
    <n v="8158.4999999999991"/>
    <n v="2841.6"/>
  </r>
  <r>
    <x v="10"/>
    <n v="11"/>
    <x v="0"/>
    <x v="2"/>
    <x v="0"/>
    <n v="162"/>
    <n v="24300"/>
    <n v="9477"/>
    <n v="5103"/>
    <n v="1944"/>
  </r>
  <r>
    <x v="10"/>
    <n v="11"/>
    <x v="1"/>
    <x v="2"/>
    <x v="0"/>
    <n v="102"/>
    <n v="15300"/>
    <n v="5967"/>
    <n v="3213"/>
    <n v="1224"/>
  </r>
  <r>
    <x v="10"/>
    <n v="11"/>
    <x v="2"/>
    <x v="2"/>
    <x v="0"/>
    <n v="94"/>
    <n v="14100"/>
    <n v="5499"/>
    <n v="2961"/>
    <n v="1128"/>
  </r>
  <r>
    <x v="10"/>
    <n v="11"/>
    <x v="3"/>
    <x v="2"/>
    <x v="0"/>
    <n v="68"/>
    <n v="10200"/>
    <n v="3978"/>
    <n v="2142"/>
    <n v="816"/>
  </r>
  <r>
    <x v="11"/>
    <n v="12"/>
    <x v="0"/>
    <x v="0"/>
    <x v="0"/>
    <n v="2371"/>
    <n v="106695"/>
    <n v="43152.200000000004"/>
    <n v="23235.8"/>
    <n v="8535.6"/>
  </r>
  <r>
    <x v="11"/>
    <n v="12"/>
    <x v="1"/>
    <x v="0"/>
    <x v="0"/>
    <n v="1498"/>
    <n v="67410"/>
    <n v="27263.600000000002"/>
    <n v="14680.4"/>
    <n v="5392.8"/>
  </r>
  <r>
    <x v="11"/>
    <n v="12"/>
    <x v="2"/>
    <x v="0"/>
    <x v="0"/>
    <n v="1373"/>
    <n v="61785"/>
    <n v="24988.600000000002"/>
    <n v="13455.4"/>
    <n v="4942.8"/>
  </r>
  <r>
    <x v="11"/>
    <n v="12"/>
    <x v="3"/>
    <x v="0"/>
    <x v="0"/>
    <n v="998"/>
    <n v="44910"/>
    <n v="18163.600000000002"/>
    <n v="9780.4"/>
    <n v="3592.8"/>
  </r>
  <r>
    <x v="11"/>
    <n v="12"/>
    <x v="0"/>
    <x v="1"/>
    <x v="0"/>
    <n v="283"/>
    <n v="90560"/>
    <n v="38629.5"/>
    <n v="20800.5"/>
    <n v="7244.8"/>
  </r>
  <r>
    <x v="11"/>
    <n v="12"/>
    <x v="1"/>
    <x v="1"/>
    <x v="0"/>
    <n v="179"/>
    <n v="57280"/>
    <n v="24433.5"/>
    <n v="13156.5"/>
    <n v="4582.4000000000005"/>
  </r>
  <r>
    <x v="11"/>
    <n v="12"/>
    <x v="2"/>
    <x v="1"/>
    <x v="0"/>
    <n v="164"/>
    <n v="52480"/>
    <n v="22386"/>
    <n v="12054"/>
    <n v="4198.3999999999996"/>
  </r>
  <r>
    <x v="11"/>
    <n v="12"/>
    <x v="3"/>
    <x v="1"/>
    <x v="0"/>
    <n v="119"/>
    <n v="38080"/>
    <n v="16243.5"/>
    <n v="8746.5"/>
    <n v="3046.4"/>
  </r>
  <r>
    <x v="11"/>
    <n v="12"/>
    <x v="0"/>
    <x v="2"/>
    <x v="0"/>
    <n v="173"/>
    <n v="25950"/>
    <n v="10120.5"/>
    <n v="5449.5"/>
    <n v="2076"/>
  </r>
  <r>
    <x v="11"/>
    <n v="12"/>
    <x v="1"/>
    <x v="2"/>
    <x v="0"/>
    <n v="109"/>
    <n v="16350"/>
    <n v="6376.5"/>
    <n v="3433.5"/>
    <n v="1308"/>
  </r>
  <r>
    <x v="11"/>
    <n v="12"/>
    <x v="2"/>
    <x v="2"/>
    <x v="0"/>
    <n v="100"/>
    <n v="15000"/>
    <n v="5850"/>
    <n v="3150"/>
    <n v="1200"/>
  </r>
  <r>
    <x v="11"/>
    <n v="12"/>
    <x v="3"/>
    <x v="2"/>
    <x v="0"/>
    <n v="73"/>
    <n v="10950"/>
    <n v="4270.5"/>
    <n v="2299.5"/>
    <n v="876"/>
  </r>
  <r>
    <x v="0"/>
    <n v="1"/>
    <x v="0"/>
    <x v="0"/>
    <x v="1"/>
    <n v="1804"/>
    <n v="79791.69"/>
    <n v="32702.51"/>
    <n v="18043.73"/>
    <n v="6315.18"/>
  </r>
  <r>
    <x v="0"/>
    <n v="1"/>
    <x v="1"/>
    <x v="0"/>
    <x v="1"/>
    <n v="1123"/>
    <n v="50291.38"/>
    <n v="20096.43"/>
    <n v="11240.93"/>
    <n v="3973.54"/>
  </r>
  <r>
    <x v="0"/>
    <n v="1"/>
    <x v="2"/>
    <x v="0"/>
    <x v="1"/>
    <n v="1011"/>
    <n v="46357.53"/>
    <n v="17992.310000000001"/>
    <n v="9946.5400000000009"/>
    <n v="3652.28"/>
  </r>
  <r>
    <x v="0"/>
    <n v="1"/>
    <x v="3"/>
    <x v="0"/>
    <x v="1"/>
    <n v="729"/>
    <n v="32813.599999999999"/>
    <n v="12926.24"/>
    <n v="7153.37"/>
    <n v="2595.0100000000002"/>
  </r>
  <r>
    <x v="0"/>
    <n v="1"/>
    <x v="0"/>
    <x v="1"/>
    <x v="1"/>
    <n v="219"/>
    <n v="70576.98"/>
    <n v="29813.15"/>
    <n v="16233.12"/>
    <n v="5644.62"/>
  </r>
  <r>
    <x v="0"/>
    <n v="1"/>
    <x v="1"/>
    <x v="1"/>
    <x v="1"/>
    <n v="133"/>
    <n v="42465.23"/>
    <n v="17717.96"/>
    <n v="9906.25"/>
    <n v="3424.2"/>
  </r>
  <r>
    <x v="0"/>
    <n v="1"/>
    <x v="2"/>
    <x v="1"/>
    <x v="1"/>
    <n v="127"/>
    <n v="40550.99"/>
    <n v="17603.09"/>
    <n v="9152.5400000000009"/>
    <n v="3205.13"/>
  </r>
  <r>
    <x v="0"/>
    <n v="1"/>
    <x v="3"/>
    <x v="1"/>
    <x v="1"/>
    <n v="88"/>
    <n v="27947.03"/>
    <n v="11991.17"/>
    <n v="6442.79"/>
    <n v="2295.9699999999998"/>
  </r>
  <r>
    <x v="0"/>
    <n v="1"/>
    <x v="0"/>
    <x v="2"/>
    <x v="1"/>
    <n v="127"/>
    <n v="19343.03"/>
    <n v="7491.2"/>
    <n v="4060.89"/>
    <n v="1513.87"/>
  </r>
  <r>
    <x v="0"/>
    <n v="1"/>
    <x v="1"/>
    <x v="2"/>
    <x v="1"/>
    <n v="83"/>
    <n v="12482.92"/>
    <n v="4984.55"/>
    <n v="2633.98"/>
    <n v="1025.24"/>
  </r>
  <r>
    <x v="0"/>
    <n v="1"/>
    <x v="2"/>
    <x v="2"/>
    <x v="1"/>
    <n v="73"/>
    <n v="11058.05"/>
    <n v="4172.83"/>
    <n v="2294.8200000000002"/>
    <n v="870.81"/>
  </r>
  <r>
    <x v="0"/>
    <n v="1"/>
    <x v="3"/>
    <x v="2"/>
    <x v="1"/>
    <n v="54"/>
    <n v="8145.76"/>
    <n v="3066.63"/>
    <n v="1659.33"/>
    <n v="634.66999999999996"/>
  </r>
  <r>
    <x v="1"/>
    <n v="2"/>
    <x v="0"/>
    <x v="0"/>
    <x v="1"/>
    <n v="1890"/>
    <n v="85716.33"/>
    <n v="33373.22"/>
    <n v="18073.849999999999"/>
    <n v="6960.24"/>
  </r>
  <r>
    <x v="1"/>
    <n v="2"/>
    <x v="1"/>
    <x v="0"/>
    <x v="1"/>
    <n v="1172"/>
    <n v="52140.77"/>
    <n v="21921.77"/>
    <n v="11315.83"/>
    <n v="4049.73"/>
  </r>
  <r>
    <x v="1"/>
    <n v="2"/>
    <x v="2"/>
    <x v="0"/>
    <x v="1"/>
    <n v="1074"/>
    <n v="48730.45"/>
    <n v="19844.7"/>
    <n v="10559.45"/>
    <n v="3891.14"/>
  </r>
  <r>
    <x v="1"/>
    <n v="2"/>
    <x v="3"/>
    <x v="0"/>
    <x v="1"/>
    <n v="772"/>
    <n v="34510.699999999997"/>
    <n v="14194.29"/>
    <n v="7664.71"/>
    <n v="2827.4"/>
  </r>
  <r>
    <x v="1"/>
    <n v="2"/>
    <x v="0"/>
    <x v="1"/>
    <x v="1"/>
    <n v="215"/>
    <n v="67437.81"/>
    <n v="29711.66"/>
    <n v="15586.83"/>
    <n v="5471.91"/>
  </r>
  <r>
    <x v="1"/>
    <n v="2"/>
    <x v="1"/>
    <x v="1"/>
    <x v="1"/>
    <n v="133"/>
    <n v="42125.71"/>
    <n v="17930.599999999999"/>
    <n v="9908.01"/>
    <n v="3463.81"/>
  </r>
  <r>
    <x v="1"/>
    <n v="2"/>
    <x v="2"/>
    <x v="1"/>
    <x v="1"/>
    <n v="126"/>
    <n v="39779.4"/>
    <n v="16982.439999999999"/>
    <n v="9383.2999999999993"/>
    <n v="3213.78"/>
  </r>
  <r>
    <x v="1"/>
    <n v="2"/>
    <x v="3"/>
    <x v="1"/>
    <x v="1"/>
    <n v="93"/>
    <n v="30231.47"/>
    <n v="12805.6"/>
    <n v="6788.3"/>
    <n v="2388.56"/>
  </r>
  <r>
    <x v="1"/>
    <n v="2"/>
    <x v="0"/>
    <x v="2"/>
    <x v="1"/>
    <n v="138"/>
    <n v="20720.46"/>
    <n v="7952.2"/>
    <n v="4239.88"/>
    <n v="1664.92"/>
  </r>
  <r>
    <x v="1"/>
    <n v="2"/>
    <x v="1"/>
    <x v="2"/>
    <x v="1"/>
    <n v="81"/>
    <n v="12050.4"/>
    <n v="4698.6099999999997"/>
    <n v="2509.09"/>
    <n v="946.71"/>
  </r>
  <r>
    <x v="1"/>
    <n v="2"/>
    <x v="2"/>
    <x v="2"/>
    <x v="1"/>
    <n v="80"/>
    <n v="12239.52"/>
    <n v="4629.7700000000004"/>
    <n v="2495.2800000000002"/>
    <n v="1000.28"/>
  </r>
  <r>
    <x v="1"/>
    <n v="2"/>
    <x v="3"/>
    <x v="2"/>
    <x v="1"/>
    <n v="55"/>
    <n v="8155.99"/>
    <n v="3172.09"/>
    <n v="1699.97"/>
    <n v="651.41"/>
  </r>
  <r>
    <x v="2"/>
    <n v="3"/>
    <x v="0"/>
    <x v="0"/>
    <x v="1"/>
    <n v="1982"/>
    <n v="89317.09"/>
    <n v="36009.360000000001"/>
    <n v="19363.45"/>
    <n v="7280.94"/>
  </r>
  <r>
    <x v="2"/>
    <n v="3"/>
    <x v="1"/>
    <x v="0"/>
    <x v="1"/>
    <n v="1293"/>
    <n v="58378.05"/>
    <n v="23384.31"/>
    <n v="12685.9"/>
    <n v="4801.53"/>
  </r>
  <r>
    <x v="2"/>
    <n v="3"/>
    <x v="2"/>
    <x v="0"/>
    <x v="1"/>
    <n v="1144"/>
    <n v="51098.14"/>
    <n v="21232.240000000002"/>
    <n v="10930.93"/>
    <n v="4048.46"/>
  </r>
  <r>
    <x v="2"/>
    <n v="3"/>
    <x v="3"/>
    <x v="0"/>
    <x v="1"/>
    <n v="804"/>
    <n v="36058.75"/>
    <n v="14853.24"/>
    <n v="7735.52"/>
    <n v="2938.91"/>
  </r>
  <r>
    <x v="2"/>
    <n v="3"/>
    <x v="0"/>
    <x v="1"/>
    <x v="1"/>
    <n v="241"/>
    <n v="78073.710000000006"/>
    <n v="32817.379999999997"/>
    <n v="18022.72"/>
    <n v="6182.2"/>
  </r>
  <r>
    <x v="2"/>
    <n v="3"/>
    <x v="1"/>
    <x v="1"/>
    <x v="1"/>
    <n v="150"/>
    <n v="47431.519999999997"/>
    <n v="20287.16"/>
    <n v="11094.84"/>
    <n v="3905.01"/>
  </r>
  <r>
    <x v="2"/>
    <n v="3"/>
    <x v="2"/>
    <x v="1"/>
    <x v="1"/>
    <n v="136"/>
    <n v="43666.67"/>
    <n v="18144.490000000002"/>
    <n v="10100.370000000001"/>
    <n v="3399.27"/>
  </r>
  <r>
    <x v="2"/>
    <n v="3"/>
    <x v="3"/>
    <x v="1"/>
    <x v="1"/>
    <n v="95"/>
    <n v="30613.86"/>
    <n v="12862.3"/>
    <n v="6906.15"/>
    <n v="2501.0700000000002"/>
  </r>
  <r>
    <x v="2"/>
    <n v="3"/>
    <x v="0"/>
    <x v="2"/>
    <x v="1"/>
    <n v="146"/>
    <n v="21760.19"/>
    <n v="8495.23"/>
    <n v="4669.79"/>
    <n v="1738.81"/>
  </r>
  <r>
    <x v="2"/>
    <n v="3"/>
    <x v="1"/>
    <x v="2"/>
    <x v="1"/>
    <n v="88"/>
    <n v="13402.18"/>
    <n v="5192.96"/>
    <n v="2735.39"/>
    <n v="1084.27"/>
  </r>
  <r>
    <x v="2"/>
    <n v="3"/>
    <x v="2"/>
    <x v="2"/>
    <x v="1"/>
    <n v="84"/>
    <n v="12683.14"/>
    <n v="5039.3"/>
    <n v="2644.41"/>
    <n v="989.1"/>
  </r>
  <r>
    <x v="2"/>
    <n v="3"/>
    <x v="3"/>
    <x v="2"/>
    <x v="1"/>
    <n v="60"/>
    <n v="8938.39"/>
    <n v="3507.11"/>
    <n v="1848.55"/>
    <n v="710.4"/>
  </r>
  <r>
    <x v="3"/>
    <n v="4"/>
    <x v="0"/>
    <x v="0"/>
    <x v="1"/>
    <n v="2054"/>
    <n v="92222.33"/>
    <n v="40112.910000000003"/>
    <n v="20590.2"/>
    <n v="7413.18"/>
  </r>
  <r>
    <x v="3"/>
    <n v="4"/>
    <x v="1"/>
    <x v="0"/>
    <x v="1"/>
    <n v="1288"/>
    <n v="58223.42"/>
    <n v="25825.35"/>
    <n v="12823.21"/>
    <n v="4791.96"/>
  </r>
  <r>
    <x v="3"/>
    <n v="4"/>
    <x v="2"/>
    <x v="0"/>
    <x v="1"/>
    <n v="1213"/>
    <n v="55284.15"/>
    <n v="25139.200000000001"/>
    <n v="11638.49"/>
    <n v="4347.1899999999996"/>
  </r>
  <r>
    <x v="3"/>
    <n v="4"/>
    <x v="3"/>
    <x v="0"/>
    <x v="1"/>
    <n v="834"/>
    <n v="37426.379999999997"/>
    <n v="16868.62"/>
    <n v="8246.2000000000007"/>
    <n v="3067.03"/>
  </r>
  <r>
    <x v="3"/>
    <n v="4"/>
    <x v="0"/>
    <x v="1"/>
    <x v="1"/>
    <n v="242"/>
    <n v="77072.639999999999"/>
    <n v="32088.09"/>
    <n v="17569"/>
    <n v="6091.24"/>
  </r>
  <r>
    <x v="3"/>
    <n v="4"/>
    <x v="1"/>
    <x v="1"/>
    <x v="1"/>
    <n v="156"/>
    <n v="49232.26"/>
    <n v="21454.36"/>
    <n v="11566.08"/>
    <n v="3893.55"/>
  </r>
  <r>
    <x v="3"/>
    <n v="4"/>
    <x v="2"/>
    <x v="1"/>
    <x v="1"/>
    <n v="139"/>
    <n v="44635.33"/>
    <n v="19291.72"/>
    <n v="10303.790000000001"/>
    <n v="3663.69"/>
  </r>
  <r>
    <x v="3"/>
    <n v="4"/>
    <x v="3"/>
    <x v="1"/>
    <x v="1"/>
    <n v="98"/>
    <n v="31847.26"/>
    <n v="13009.16"/>
    <n v="7105.38"/>
    <n v="2584.42"/>
  </r>
  <r>
    <x v="3"/>
    <n v="4"/>
    <x v="0"/>
    <x v="2"/>
    <x v="1"/>
    <n v="152"/>
    <n v="23098.62"/>
    <n v="8945.7000000000007"/>
    <n v="4845.3900000000003"/>
    <n v="1832.84"/>
  </r>
  <r>
    <x v="3"/>
    <n v="4"/>
    <x v="1"/>
    <x v="2"/>
    <x v="1"/>
    <n v="90"/>
    <n v="13441.51"/>
    <n v="5147.47"/>
    <n v="2791.62"/>
    <n v="1051.73"/>
  </r>
  <r>
    <x v="3"/>
    <n v="4"/>
    <x v="2"/>
    <x v="2"/>
    <x v="1"/>
    <n v="86"/>
    <n v="12731.11"/>
    <n v="4926.0600000000004"/>
    <n v="2642.01"/>
    <n v="993.33"/>
  </r>
  <r>
    <x v="3"/>
    <n v="4"/>
    <x v="3"/>
    <x v="2"/>
    <x v="1"/>
    <n v="61"/>
    <n v="9103.5"/>
    <n v="3615.42"/>
    <n v="1916.54"/>
    <n v="737.94"/>
  </r>
  <r>
    <x v="4"/>
    <n v="5"/>
    <x v="0"/>
    <x v="0"/>
    <x v="1"/>
    <n v="1995"/>
    <n v="89868.52"/>
    <n v="40594.57"/>
    <n v="19100.259999999998"/>
    <n v="6974.74"/>
  </r>
  <r>
    <x v="4"/>
    <n v="5"/>
    <x v="1"/>
    <x v="0"/>
    <x v="1"/>
    <n v="1300"/>
    <n v="59563.6"/>
    <n v="25370.73"/>
    <n v="12725.89"/>
    <n v="4656.8900000000003"/>
  </r>
  <r>
    <x v="4"/>
    <n v="5"/>
    <x v="2"/>
    <x v="0"/>
    <x v="1"/>
    <n v="1220"/>
    <n v="53823.8"/>
    <n v="24151.759999999998"/>
    <n v="11750.58"/>
    <n v="4411.2"/>
  </r>
  <r>
    <x v="4"/>
    <n v="5"/>
    <x v="3"/>
    <x v="0"/>
    <x v="1"/>
    <n v="877"/>
    <n v="39198.199999999997"/>
    <n v="17262.650000000001"/>
    <n v="8752.7199999999993"/>
    <n v="3105.16"/>
  </r>
  <r>
    <x v="4"/>
    <n v="5"/>
    <x v="0"/>
    <x v="1"/>
    <x v="1"/>
    <n v="236"/>
    <n v="74440.009999999995"/>
    <n v="31390.7"/>
    <n v="17200.099999999999"/>
    <n v="5954.4"/>
  </r>
  <r>
    <x v="4"/>
    <n v="5"/>
    <x v="1"/>
    <x v="1"/>
    <x v="1"/>
    <n v="153"/>
    <n v="49024.81"/>
    <n v="21070.46"/>
    <n v="11248.94"/>
    <n v="4033.19"/>
  </r>
  <r>
    <x v="4"/>
    <n v="5"/>
    <x v="2"/>
    <x v="1"/>
    <x v="1"/>
    <n v="144"/>
    <n v="45999.21"/>
    <n v="19311.57"/>
    <n v="10667.26"/>
    <n v="3639.75"/>
  </r>
  <r>
    <x v="4"/>
    <n v="5"/>
    <x v="3"/>
    <x v="1"/>
    <x v="1"/>
    <n v="105"/>
    <n v="33134.47"/>
    <n v="14440.14"/>
    <n v="7794.58"/>
    <n v="2591.7199999999998"/>
  </r>
  <r>
    <x v="4"/>
    <n v="5"/>
    <x v="0"/>
    <x v="2"/>
    <x v="1"/>
    <n v="154"/>
    <n v="22929.82"/>
    <n v="9054.5300000000007"/>
    <n v="4903.2700000000004"/>
    <n v="1867.22"/>
  </r>
  <r>
    <x v="4"/>
    <n v="5"/>
    <x v="1"/>
    <x v="2"/>
    <x v="1"/>
    <n v="92"/>
    <n v="13716.49"/>
    <n v="5297.41"/>
    <n v="2945.98"/>
    <n v="1125.3499999999999"/>
  </r>
  <r>
    <x v="4"/>
    <n v="5"/>
    <x v="2"/>
    <x v="2"/>
    <x v="1"/>
    <n v="87"/>
    <n v="12845.81"/>
    <n v="5001.34"/>
    <n v="2724.32"/>
    <n v="1016.68"/>
  </r>
  <r>
    <x v="4"/>
    <n v="5"/>
    <x v="3"/>
    <x v="2"/>
    <x v="1"/>
    <n v="64"/>
    <n v="9609.89"/>
    <n v="3710.25"/>
    <n v="1984.48"/>
    <n v="788.89"/>
  </r>
  <r>
    <x v="5"/>
    <n v="6"/>
    <x v="0"/>
    <x v="0"/>
    <x v="1"/>
    <n v="2141"/>
    <n v="95446.18"/>
    <n v="42559.44"/>
    <n v="20744.830000000002"/>
    <n v="7694.14"/>
  </r>
  <r>
    <x v="5"/>
    <n v="6"/>
    <x v="1"/>
    <x v="0"/>
    <x v="1"/>
    <n v="1336"/>
    <n v="60592.07"/>
    <n v="26320.39"/>
    <n v="13161.14"/>
    <n v="4796.6000000000004"/>
  </r>
  <r>
    <x v="5"/>
    <n v="6"/>
    <x v="2"/>
    <x v="0"/>
    <x v="1"/>
    <n v="1192"/>
    <n v="52763.22"/>
    <n v="25121.1"/>
    <n v="11813.29"/>
    <n v="4109.66"/>
  </r>
  <r>
    <x v="5"/>
    <n v="6"/>
    <x v="3"/>
    <x v="0"/>
    <x v="1"/>
    <n v="866"/>
    <n v="38476.800000000003"/>
    <n v="17675.59"/>
    <n v="8357.94"/>
    <n v="3042.99"/>
  </r>
  <r>
    <x v="5"/>
    <n v="6"/>
    <x v="0"/>
    <x v="1"/>
    <x v="1"/>
    <n v="251"/>
    <n v="78868.87"/>
    <n v="34243.120000000003"/>
    <n v="18361.12"/>
    <n v="6166.96"/>
  </r>
  <r>
    <x v="5"/>
    <n v="6"/>
    <x v="1"/>
    <x v="1"/>
    <x v="1"/>
    <n v="152"/>
    <n v="49352.26"/>
    <n v="20493.259999999998"/>
    <n v="11024.61"/>
    <n v="3922.64"/>
  </r>
  <r>
    <x v="5"/>
    <n v="6"/>
    <x v="2"/>
    <x v="1"/>
    <x v="1"/>
    <n v="146"/>
    <n v="47498.6"/>
    <n v="19414.669999999998"/>
    <n v="10535.27"/>
    <n v="3878.74"/>
  </r>
  <r>
    <x v="5"/>
    <n v="6"/>
    <x v="3"/>
    <x v="1"/>
    <x v="1"/>
    <n v="108"/>
    <n v="34525.89"/>
    <n v="14740.41"/>
    <n v="7878.62"/>
    <n v="2777.44"/>
  </r>
  <r>
    <x v="5"/>
    <n v="6"/>
    <x v="0"/>
    <x v="2"/>
    <x v="1"/>
    <n v="150"/>
    <n v="22653.26"/>
    <n v="8773.09"/>
    <n v="4825.79"/>
    <n v="1774.15"/>
  </r>
  <r>
    <x v="5"/>
    <n v="6"/>
    <x v="1"/>
    <x v="2"/>
    <x v="1"/>
    <n v="93"/>
    <n v="13797.28"/>
    <n v="5494.35"/>
    <n v="2926.67"/>
    <n v="1123.02"/>
  </r>
  <r>
    <x v="5"/>
    <n v="6"/>
    <x v="2"/>
    <x v="2"/>
    <x v="1"/>
    <n v="85"/>
    <n v="12516.3"/>
    <n v="5042.74"/>
    <n v="2726.15"/>
    <n v="979.29"/>
  </r>
  <r>
    <x v="5"/>
    <n v="6"/>
    <x v="3"/>
    <x v="2"/>
    <x v="1"/>
    <n v="62"/>
    <n v="9202.6299999999992"/>
    <n v="3695.34"/>
    <n v="1997.41"/>
    <n v="747.99"/>
  </r>
  <r>
    <x v="6"/>
    <n v="7"/>
    <x v="0"/>
    <x v="0"/>
    <x v="1"/>
    <n v="1919"/>
    <n v="85800.05"/>
    <n v="35792.129999999997"/>
    <n v="19090.84"/>
    <n v="6918.88"/>
  </r>
  <r>
    <x v="6"/>
    <n v="7"/>
    <x v="1"/>
    <x v="0"/>
    <x v="1"/>
    <n v="1202"/>
    <n v="54201.73"/>
    <n v="21882.880000000001"/>
    <n v="12029.32"/>
    <n v="4309.76"/>
  </r>
  <r>
    <x v="6"/>
    <n v="7"/>
    <x v="2"/>
    <x v="0"/>
    <x v="1"/>
    <n v="1095"/>
    <n v="48555.18"/>
    <n v="20477.46"/>
    <n v="10484.450000000001"/>
    <n v="3885.01"/>
  </r>
  <r>
    <x v="6"/>
    <n v="7"/>
    <x v="3"/>
    <x v="0"/>
    <x v="1"/>
    <n v="672"/>
    <n v="29757.23"/>
    <n v="12435.51"/>
    <n v="6444.7"/>
    <n v="2368.5"/>
  </r>
  <r>
    <x v="6"/>
    <n v="7"/>
    <x v="0"/>
    <x v="1"/>
    <x v="1"/>
    <n v="229"/>
    <n v="72349"/>
    <n v="32080.93"/>
    <n v="16526.22"/>
    <n v="5717.08"/>
  </r>
  <r>
    <x v="6"/>
    <n v="7"/>
    <x v="1"/>
    <x v="1"/>
    <x v="1"/>
    <n v="140"/>
    <n v="45237.9"/>
    <n v="18608.13"/>
    <n v="10236.85"/>
    <n v="3562.6"/>
  </r>
  <r>
    <x v="6"/>
    <n v="7"/>
    <x v="2"/>
    <x v="1"/>
    <x v="1"/>
    <n v="134"/>
    <n v="42163.99"/>
    <n v="17828.29"/>
    <n v="10084.24"/>
    <n v="3416.86"/>
  </r>
  <r>
    <x v="6"/>
    <n v="7"/>
    <x v="3"/>
    <x v="1"/>
    <x v="1"/>
    <n v="76"/>
    <n v="24079.71"/>
    <n v="10301.799999999999"/>
    <n v="5485.25"/>
    <n v="1963.69"/>
  </r>
  <r>
    <x v="6"/>
    <n v="7"/>
    <x v="0"/>
    <x v="2"/>
    <x v="1"/>
    <n v="136"/>
    <n v="20536.79"/>
    <n v="7906.55"/>
    <n v="4364.03"/>
    <n v="1662.27"/>
  </r>
  <r>
    <x v="6"/>
    <n v="7"/>
    <x v="1"/>
    <x v="2"/>
    <x v="1"/>
    <n v="89"/>
    <n v="13574.94"/>
    <n v="5205.22"/>
    <n v="2742.64"/>
    <n v="1080.05"/>
  </r>
  <r>
    <x v="6"/>
    <n v="7"/>
    <x v="2"/>
    <x v="2"/>
    <x v="1"/>
    <n v="78"/>
    <n v="11698.25"/>
    <n v="4640.7700000000004"/>
    <n v="2489.5100000000002"/>
    <n v="914.7"/>
  </r>
  <r>
    <x v="6"/>
    <n v="7"/>
    <x v="3"/>
    <x v="2"/>
    <x v="1"/>
    <n v="44"/>
    <n v="6641.54"/>
    <n v="2624.61"/>
    <n v="1379.44"/>
    <n v="519.27"/>
  </r>
  <r>
    <x v="7"/>
    <n v="8"/>
    <x v="0"/>
    <x v="0"/>
    <x v="1"/>
    <n v="1126"/>
    <n v="51007.34"/>
    <n v="20451.57"/>
    <n v="10869.52"/>
    <n v="3972.03"/>
  </r>
  <r>
    <x v="7"/>
    <n v="8"/>
    <x v="1"/>
    <x v="0"/>
    <x v="1"/>
    <n v="680"/>
    <n v="30481.39"/>
    <n v="12307.25"/>
    <n v="6718.32"/>
    <n v="2460.29"/>
  </r>
  <r>
    <x v="7"/>
    <n v="8"/>
    <x v="2"/>
    <x v="0"/>
    <x v="1"/>
    <n v="652"/>
    <n v="29795.24"/>
    <n v="11870.2"/>
    <n v="6279.92"/>
    <n v="2390.7600000000002"/>
  </r>
  <r>
    <x v="7"/>
    <n v="8"/>
    <x v="3"/>
    <x v="0"/>
    <x v="1"/>
    <n v="447"/>
    <n v="19877.13"/>
    <n v="8289.31"/>
    <n v="4462.59"/>
    <n v="1620.42"/>
  </r>
  <r>
    <x v="7"/>
    <n v="8"/>
    <x v="0"/>
    <x v="1"/>
    <x v="1"/>
    <n v="135"/>
    <n v="42456.639999999999"/>
    <n v="17946.21"/>
    <n v="9996.0400000000009"/>
    <n v="3489.94"/>
  </r>
  <r>
    <x v="7"/>
    <n v="8"/>
    <x v="1"/>
    <x v="1"/>
    <x v="1"/>
    <n v="81"/>
    <n v="25504.42"/>
    <n v="10865.08"/>
    <n v="6062.21"/>
    <n v="1979.89"/>
  </r>
  <r>
    <x v="7"/>
    <n v="8"/>
    <x v="2"/>
    <x v="1"/>
    <x v="1"/>
    <n v="72"/>
    <n v="23329.32"/>
    <n v="9717.77"/>
    <n v="5404.1"/>
    <n v="1895.37"/>
  </r>
  <r>
    <x v="7"/>
    <n v="8"/>
    <x v="3"/>
    <x v="1"/>
    <x v="1"/>
    <n v="56"/>
    <n v="17610.169999999998"/>
    <n v="7677.24"/>
    <n v="4075.58"/>
    <n v="1368.25"/>
  </r>
  <r>
    <x v="7"/>
    <n v="8"/>
    <x v="0"/>
    <x v="2"/>
    <x v="1"/>
    <n v="80"/>
    <n v="12229.42"/>
    <n v="4578.59"/>
    <n v="2485.65"/>
    <n v="951.26"/>
  </r>
  <r>
    <x v="7"/>
    <n v="8"/>
    <x v="1"/>
    <x v="2"/>
    <x v="1"/>
    <n v="52"/>
    <n v="7943.45"/>
    <n v="3105"/>
    <n v="1646.27"/>
    <n v="618.82000000000005"/>
  </r>
  <r>
    <x v="7"/>
    <n v="8"/>
    <x v="2"/>
    <x v="2"/>
    <x v="1"/>
    <n v="45"/>
    <n v="6873.81"/>
    <n v="2628.34"/>
    <n v="1388.06"/>
    <n v="533.42999999999995"/>
  </r>
  <r>
    <x v="7"/>
    <n v="8"/>
    <x v="3"/>
    <x v="2"/>
    <x v="1"/>
    <n v="34"/>
    <n v="5097.34"/>
    <n v="2003.8"/>
    <n v="1050.45"/>
    <n v="410.79"/>
  </r>
  <r>
    <x v="8"/>
    <n v="9"/>
    <x v="0"/>
    <x v="0"/>
    <x v="1"/>
    <n v="2054"/>
    <n v="92738.25"/>
    <n v="36551.53"/>
    <n v="20604.45"/>
    <n v="7504.42"/>
  </r>
  <r>
    <x v="8"/>
    <n v="9"/>
    <x v="1"/>
    <x v="0"/>
    <x v="1"/>
    <n v="1258"/>
    <n v="57126.66"/>
    <n v="22891.01"/>
    <n v="12533.95"/>
    <n v="4567.9399999999996"/>
  </r>
  <r>
    <x v="8"/>
    <n v="9"/>
    <x v="2"/>
    <x v="0"/>
    <x v="1"/>
    <n v="1157"/>
    <n v="52603"/>
    <n v="20554.63"/>
    <n v="11531.09"/>
    <n v="4244"/>
  </r>
  <r>
    <x v="8"/>
    <n v="9"/>
    <x v="3"/>
    <x v="0"/>
    <x v="1"/>
    <n v="804"/>
    <n v="36414.9"/>
    <n v="14277.05"/>
    <n v="7982.14"/>
    <n v="2832.73"/>
  </r>
  <r>
    <x v="8"/>
    <n v="9"/>
    <x v="0"/>
    <x v="1"/>
    <x v="1"/>
    <n v="236"/>
    <n v="74542.03"/>
    <n v="31659.81"/>
    <n v="17219.36"/>
    <n v="5875.84"/>
  </r>
  <r>
    <x v="8"/>
    <n v="9"/>
    <x v="1"/>
    <x v="1"/>
    <x v="1"/>
    <n v="144"/>
    <n v="45555.360000000001"/>
    <n v="19367.57"/>
    <n v="10672.84"/>
    <n v="3640.66"/>
  </r>
  <r>
    <x v="8"/>
    <n v="9"/>
    <x v="2"/>
    <x v="1"/>
    <x v="1"/>
    <n v="140"/>
    <n v="44038.39"/>
    <n v="19469.599999999999"/>
    <n v="10445.209999999999"/>
    <n v="3586.64"/>
  </r>
  <r>
    <x v="8"/>
    <n v="9"/>
    <x v="3"/>
    <x v="1"/>
    <x v="1"/>
    <n v="99"/>
    <n v="31924.85"/>
    <n v="13303.63"/>
    <n v="7394.04"/>
    <n v="2499.17"/>
  </r>
  <r>
    <x v="8"/>
    <n v="9"/>
    <x v="0"/>
    <x v="2"/>
    <x v="1"/>
    <n v="142"/>
    <n v="20909.97"/>
    <n v="8282.86"/>
    <n v="4390.74"/>
    <n v="1645.75"/>
  </r>
  <r>
    <x v="8"/>
    <n v="9"/>
    <x v="1"/>
    <x v="2"/>
    <x v="1"/>
    <n v="92"/>
    <n v="13716.28"/>
    <n v="5529.43"/>
    <n v="2966.98"/>
    <n v="1122.8599999999999"/>
  </r>
  <r>
    <x v="8"/>
    <n v="9"/>
    <x v="2"/>
    <x v="2"/>
    <x v="1"/>
    <n v="84"/>
    <n v="12848.59"/>
    <n v="4945.63"/>
    <n v="2634.81"/>
    <n v="1014.86"/>
  </r>
  <r>
    <x v="8"/>
    <n v="9"/>
    <x v="3"/>
    <x v="2"/>
    <x v="1"/>
    <n v="62"/>
    <n v="9183.1200000000008"/>
    <n v="3613.37"/>
    <n v="1923.6"/>
    <n v="730.63"/>
  </r>
  <r>
    <x v="9"/>
    <n v="10"/>
    <x v="0"/>
    <x v="0"/>
    <x v="1"/>
    <n v="2078"/>
    <n v="93195.31"/>
    <n v="38426.82"/>
    <n v="20745.419999999998"/>
    <n v="7301.9"/>
  </r>
  <r>
    <x v="9"/>
    <n v="10"/>
    <x v="1"/>
    <x v="0"/>
    <x v="1"/>
    <n v="1334"/>
    <n v="60480.79"/>
    <n v="24282.18"/>
    <n v="12806.34"/>
    <n v="4890.9799999999996"/>
  </r>
  <r>
    <x v="9"/>
    <n v="10"/>
    <x v="2"/>
    <x v="0"/>
    <x v="1"/>
    <n v="1225"/>
    <n v="56036.02"/>
    <n v="22480.67"/>
    <n v="11757.62"/>
    <n v="4544.71"/>
  </r>
  <r>
    <x v="9"/>
    <n v="10"/>
    <x v="3"/>
    <x v="0"/>
    <x v="1"/>
    <n v="866"/>
    <n v="38308.65"/>
    <n v="16161.18"/>
    <n v="8449.23"/>
    <n v="3143.92"/>
  </r>
  <r>
    <x v="9"/>
    <n v="10"/>
    <x v="0"/>
    <x v="1"/>
    <x v="1"/>
    <n v="257"/>
    <n v="81188.89"/>
    <n v="35515.65"/>
    <n v="18900.64"/>
    <n v="6379.33"/>
  </r>
  <r>
    <x v="9"/>
    <n v="10"/>
    <x v="1"/>
    <x v="1"/>
    <x v="1"/>
    <n v="167"/>
    <n v="52723.6"/>
    <n v="22411.07"/>
    <n v="12437.99"/>
    <n v="4094.06"/>
  </r>
  <r>
    <x v="9"/>
    <n v="10"/>
    <x v="2"/>
    <x v="1"/>
    <x v="1"/>
    <n v="152"/>
    <n v="48234.65"/>
    <n v="20662.29"/>
    <n v="11196.04"/>
    <n v="3839.76"/>
  </r>
  <r>
    <x v="9"/>
    <n v="10"/>
    <x v="3"/>
    <x v="1"/>
    <x v="1"/>
    <n v="107"/>
    <n v="34468.120000000003"/>
    <n v="14319.01"/>
    <n v="7775.94"/>
    <n v="2810.24"/>
  </r>
  <r>
    <x v="9"/>
    <n v="10"/>
    <x v="0"/>
    <x v="2"/>
    <x v="1"/>
    <n v="156"/>
    <n v="23272.67"/>
    <n v="8859.8799999999992"/>
    <n v="5006.8500000000004"/>
    <n v="1854.6"/>
  </r>
  <r>
    <x v="9"/>
    <n v="10"/>
    <x v="1"/>
    <x v="2"/>
    <x v="1"/>
    <n v="98"/>
    <n v="14450.8"/>
    <n v="5738.4"/>
    <n v="3029.07"/>
    <n v="1149.1099999999999"/>
  </r>
  <r>
    <x v="9"/>
    <n v="10"/>
    <x v="2"/>
    <x v="2"/>
    <x v="1"/>
    <n v="88"/>
    <n v="13096.1"/>
    <n v="5082.74"/>
    <n v="2834.92"/>
    <n v="1030.17"/>
  </r>
  <r>
    <x v="9"/>
    <n v="10"/>
    <x v="3"/>
    <x v="2"/>
    <x v="1"/>
    <n v="64"/>
    <n v="9730.3799999999992"/>
    <n v="3780.08"/>
    <n v="1986.44"/>
    <n v="796.36"/>
  </r>
  <r>
    <x v="10"/>
    <n v="11"/>
    <x v="0"/>
    <x v="0"/>
    <x v="1"/>
    <n v="2199"/>
    <n v="97599.79"/>
    <n v="40659.46"/>
    <n v="21472.93"/>
    <n v="7874.12"/>
  </r>
  <r>
    <x v="10"/>
    <n v="11"/>
    <x v="1"/>
    <x v="0"/>
    <x v="1"/>
    <n v="1435"/>
    <n v="65269.96"/>
    <n v="25359.84"/>
    <n v="13913.68"/>
    <n v="5137.7700000000004"/>
  </r>
  <r>
    <x v="10"/>
    <n v="11"/>
    <x v="2"/>
    <x v="0"/>
    <x v="1"/>
    <n v="1326"/>
    <n v="59305.4"/>
    <n v="24192.02"/>
    <n v="12707.48"/>
    <n v="4656.2"/>
  </r>
  <r>
    <x v="10"/>
    <n v="11"/>
    <x v="3"/>
    <x v="0"/>
    <x v="1"/>
    <n v="958"/>
    <n v="42908.72"/>
    <n v="17896.66"/>
    <n v="9241.86"/>
    <n v="3453.88"/>
  </r>
  <r>
    <x v="10"/>
    <n v="11"/>
    <x v="0"/>
    <x v="1"/>
    <x v="1"/>
    <n v="262"/>
    <n v="82672.539999999994"/>
    <n v="35380.879999999997"/>
    <n v="18954.89"/>
    <n v="6449.93"/>
  </r>
  <r>
    <x v="10"/>
    <n v="11"/>
    <x v="1"/>
    <x v="1"/>
    <x v="1"/>
    <n v="162"/>
    <n v="51444.44"/>
    <n v="22646.23"/>
    <n v="11665.94"/>
    <n v="4021.59"/>
  </r>
  <r>
    <x v="10"/>
    <n v="11"/>
    <x v="2"/>
    <x v="1"/>
    <x v="1"/>
    <n v="158"/>
    <n v="49969.93"/>
    <n v="21952.959999999999"/>
    <n v="11814.14"/>
    <n v="3989.63"/>
  </r>
  <r>
    <x v="10"/>
    <n v="11"/>
    <x v="3"/>
    <x v="1"/>
    <x v="1"/>
    <n v="110"/>
    <n v="35351.26"/>
    <n v="14965.28"/>
    <n v="7906.61"/>
    <n v="2773.47"/>
  </r>
  <r>
    <x v="10"/>
    <n v="11"/>
    <x v="0"/>
    <x v="2"/>
    <x v="1"/>
    <n v="157"/>
    <n v="23881.39"/>
    <n v="9373.09"/>
    <n v="4936.78"/>
    <n v="1887.67"/>
  </r>
  <r>
    <x v="10"/>
    <n v="11"/>
    <x v="1"/>
    <x v="2"/>
    <x v="1"/>
    <n v="100"/>
    <n v="15123.93"/>
    <n v="5877.23"/>
    <n v="3185.15"/>
    <n v="1198.83"/>
  </r>
  <r>
    <x v="10"/>
    <n v="11"/>
    <x v="2"/>
    <x v="2"/>
    <x v="1"/>
    <n v="97"/>
    <n v="14400.15"/>
    <n v="5708.87"/>
    <n v="3089.28"/>
    <n v="1121.26"/>
  </r>
  <r>
    <x v="10"/>
    <n v="11"/>
    <x v="3"/>
    <x v="2"/>
    <x v="1"/>
    <n v="67"/>
    <n v="10022.68"/>
    <n v="3894.81"/>
    <n v="2113.65"/>
    <n v="814.92"/>
  </r>
  <r>
    <x v="11"/>
    <n v="12"/>
    <x v="0"/>
    <x v="0"/>
    <x v="1"/>
    <n v="2419"/>
    <n v="107995.01"/>
    <n v="43793.77"/>
    <n v="23390.53"/>
    <n v="8459.65"/>
  </r>
  <r>
    <x v="11"/>
    <n v="12"/>
    <x v="1"/>
    <x v="0"/>
    <x v="1"/>
    <n v="1532"/>
    <n v="68734.45"/>
    <n v="28379.43"/>
    <n v="14757.46"/>
    <n v="5419.8"/>
  </r>
  <r>
    <x v="11"/>
    <n v="12"/>
    <x v="2"/>
    <x v="0"/>
    <x v="1"/>
    <n v="1408"/>
    <n v="62645.81"/>
    <n v="25288.12"/>
    <n v="14060.81"/>
    <n v="5020.8"/>
  </r>
  <r>
    <x v="11"/>
    <n v="12"/>
    <x v="3"/>
    <x v="0"/>
    <x v="1"/>
    <n v="960"/>
    <n v="42714.5"/>
    <n v="17830.330000000002"/>
    <n v="9546.74"/>
    <n v="3477.18"/>
  </r>
  <r>
    <x v="11"/>
    <n v="12"/>
    <x v="0"/>
    <x v="1"/>
    <x v="1"/>
    <n v="280"/>
    <n v="88275.55"/>
    <n v="38872.06"/>
    <n v="20829.810000000001"/>
    <n v="7204.17"/>
  </r>
  <r>
    <x v="11"/>
    <n v="12"/>
    <x v="1"/>
    <x v="1"/>
    <x v="1"/>
    <n v="184"/>
    <n v="59947.81"/>
    <n v="24738.83"/>
    <n v="13723.54"/>
    <n v="4783.2"/>
  </r>
  <r>
    <x v="11"/>
    <n v="12"/>
    <x v="2"/>
    <x v="1"/>
    <x v="1"/>
    <n v="160"/>
    <n v="50196.33"/>
    <n v="21544.240000000002"/>
    <n v="11976.86"/>
    <n v="3921.26"/>
  </r>
  <r>
    <x v="11"/>
    <n v="12"/>
    <x v="3"/>
    <x v="1"/>
    <x v="1"/>
    <n v="119"/>
    <n v="37594.58"/>
    <n v="16707.77"/>
    <n v="8828.43"/>
    <n v="3018.93"/>
  </r>
  <r>
    <x v="11"/>
    <n v="12"/>
    <x v="0"/>
    <x v="2"/>
    <x v="1"/>
    <n v="171"/>
    <n v="25442.34"/>
    <n v="10153.5"/>
    <n v="5430.27"/>
    <n v="1981.16"/>
  </r>
  <r>
    <x v="11"/>
    <n v="12"/>
    <x v="1"/>
    <x v="2"/>
    <x v="1"/>
    <n v="111"/>
    <n v="16588.95"/>
    <n v="6522.2"/>
    <n v="3517.04"/>
    <n v="1317.82"/>
  </r>
  <r>
    <x v="11"/>
    <n v="12"/>
    <x v="2"/>
    <x v="2"/>
    <x v="1"/>
    <n v="100"/>
    <n v="14779.96"/>
    <n v="5984.58"/>
    <n v="3183.98"/>
    <n v="1216.02"/>
  </r>
  <r>
    <x v="11"/>
    <n v="12"/>
    <x v="3"/>
    <x v="2"/>
    <x v="1"/>
    <n v="74"/>
    <n v="11176.65"/>
    <n v="4219.55"/>
    <n v="2279.2600000000002"/>
    <n v="907.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068FE2-E5B2-4D58-8BE2-3DAE43ED4E59}" name="PivotTable1" cacheId="8" dataPosition="0" applyNumberFormats="0" applyBorderFormats="0" applyFontFormats="0" applyPatternFormats="0" applyAlignmentFormats="0" applyWidthHeightFormats="1" dataCaption="Values" updatedVersion="8" minRefreshableVersion="3" colGrandTotals="0" itemPrintTitles="1" createdVersion="8" indent="0" outline="1" outlineData="1" multipleFieldFilters="0">
  <location ref="A3:G18" firstHeaderRow="1" firstDataRow="3" firstDataCol="1" rowPageCount="1" colPageCount="1"/>
  <pivotFields count="10">
    <pivotField axis="axisRow" showAll="0" sortType="ascending" defaultSubtotal="0">
      <items count="12">
        <item x="3"/>
        <item x="4"/>
        <item x="5"/>
        <item x="6"/>
        <item x="11"/>
        <item x="7"/>
        <item x="1"/>
        <item x="0"/>
        <item x="2"/>
        <item x="10"/>
        <item x="9"/>
        <item x="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efaultSubtotal="0">
      <items count="4">
        <item x="3"/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showAll="0" defaultSubtotal="0">
      <items count="3">
        <item x="0"/>
        <item x="1"/>
        <item f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3">
    <i>
      <x v="7"/>
    </i>
    <i>
      <x v="6"/>
    </i>
    <i>
      <x v="8"/>
    </i>
    <i>
      <x/>
    </i>
    <i>
      <x v="1"/>
    </i>
    <i>
      <x v="2"/>
    </i>
    <i>
      <x v="3"/>
    </i>
    <i>
      <x v="5"/>
    </i>
    <i>
      <x v="11"/>
    </i>
    <i>
      <x v="10"/>
    </i>
    <i>
      <x v="9"/>
    </i>
    <i>
      <x v="4"/>
    </i>
    <i t="grand">
      <x/>
    </i>
  </rowItems>
  <colFields count="2">
    <field x="-2"/>
    <field x="4"/>
  </colFields>
  <colItems count="6">
    <i>
      <x/>
      <x/>
    </i>
    <i r="1">
      <x v="1"/>
    </i>
    <i r="1">
      <x v="2"/>
    </i>
    <i i="1">
      <x v="1"/>
      <x/>
    </i>
    <i r="1" i="1">
      <x v="1"/>
    </i>
    <i r="1" i="1">
      <x v="2"/>
    </i>
  </colItems>
  <pageFields count="1">
    <pageField fld="2" hier="-1"/>
  </pageFields>
  <dataFields count="2">
    <dataField name="Total du CA" fld="6" baseField="0" baseItem="0" numFmtId="168"/>
    <dataField name="Ordre mois" fld="1" baseField="0" baseItem="0" numFmtId="1"/>
  </dataFields>
  <formats count="3">
    <format dxfId="51">
      <pivotArea collapsedLevelsAreSubtotals="1" fieldPosition="0">
        <references count="2">
          <reference field="0" count="0"/>
          <reference field="4" count="1" selected="0">
            <x v="2"/>
          </reference>
        </references>
      </pivotArea>
    </format>
    <format dxfId="50">
      <pivotArea outline="0" collapsedLevelsAreSubtotals="1" fieldPosition="0">
        <references count="1">
          <reference field="4" count="1" selected="0">
            <x v="2"/>
          </reference>
        </references>
      </pivotArea>
    </format>
    <format dxfId="49">
      <pivotArea outline="0" collapsedLevelsAreSubtotals="1" fieldPosition="0">
        <references count="1">
          <reference field="4" count="1" selected="0">
            <x v="2"/>
          </reference>
        </references>
      </pivotArea>
    </format>
  </formats>
  <conditionalFormats count="1">
    <conditionalFormat priority="16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4" count="1" selected="0"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B5F85E-429F-452C-AEB8-AD5D79102572}" name="PivotTable5" cacheId="8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4:G19" firstHeaderRow="1" firstDataRow="3" firstDataCol="1" rowPageCount="2" colPageCount="1"/>
  <pivotFields count="10">
    <pivotField axis="axisRow" showAll="0" sortType="ascending" defaultSubtotal="0">
      <items count="12">
        <item x="7"/>
        <item x="3"/>
        <item x="11"/>
        <item x="1"/>
        <item x="0"/>
        <item x="6"/>
        <item x="5"/>
        <item x="4"/>
        <item x="2"/>
        <item x="10"/>
        <item x="9"/>
        <item x="8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dataField="1" numFmtI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efaultSubtotal="0">
      <items count="4">
        <item x="3"/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showAll="0" defaultSubtotal="0">
      <items count="3">
        <item x="0"/>
        <item f="1"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3">
    <i>
      <x v="4"/>
    </i>
    <i>
      <x v="3"/>
    </i>
    <i>
      <x v="8"/>
    </i>
    <i>
      <x v="1"/>
    </i>
    <i>
      <x v="7"/>
    </i>
    <i>
      <x v="6"/>
    </i>
    <i>
      <x v="5"/>
    </i>
    <i>
      <x/>
    </i>
    <i>
      <x v="11"/>
    </i>
    <i>
      <x v="10"/>
    </i>
    <i>
      <x v="9"/>
    </i>
    <i>
      <x v="2"/>
    </i>
    <i t="grand">
      <x/>
    </i>
  </rowItems>
  <colFields count="2">
    <field x="4"/>
    <field x="-2"/>
  </colFields>
  <colItems count="6">
    <i>
      <x/>
      <x/>
    </i>
    <i r="1" i="1">
      <x v="1"/>
    </i>
    <i>
      <x v="1"/>
      <x/>
    </i>
    <i r="1" i="1">
      <x v="1"/>
    </i>
    <i>
      <x v="2"/>
      <x/>
    </i>
    <i r="1" i="1">
      <x v="1"/>
    </i>
  </colItems>
  <pageFields count="2">
    <pageField fld="3" item="1" hier="-1"/>
    <pageField fld="2" hier="-1"/>
  </pageFields>
  <dataFields count="2">
    <dataField name="Total des Coût_Matières" fld="7" baseField="0" baseItem="0" numFmtId="168"/>
    <dataField name="Ordre mois" fld="1" baseField="0" baseItem="0" numFmtId="1"/>
  </dataFields>
  <formats count="1">
    <format dxfId="48">
      <pivotArea outline="0" collapsedLevelsAreSubtotals="1" fieldPosition="0">
        <references count="1">
          <reference field="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DDF101-32FC-4BA6-98F7-053D8D85782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17">
    <pivotField showAll="0"/>
    <pivotField numFmtId="14" showAll="0"/>
    <pivotField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dataField="1" showAll="0"/>
    <pivotField numFmtId="165"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</pivotFields>
  <rowFields count="1">
    <field x="4"/>
  </rowFields>
  <rowItems count="4">
    <i>
      <x v="2"/>
    </i>
    <i>
      <x v="1"/>
    </i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A Total" fld="7" baseField="0" baseItem="0" numFmtId="164"/>
    <dataField name="Marge Total" fld="10" baseField="4" baseItem="2" numFmtId="164"/>
    <dataField name="Total Taux de Marge Réel" fld="15" baseField="0" baseItem="0" numFmtId="165"/>
  </dataFields>
  <formats count="10">
    <format dxfId="3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2">
      <pivotArea dataOnly="0" labelOnly="1" fieldPosition="0">
        <references count="1">
          <reference field="4" count="0"/>
        </references>
      </pivotArea>
    </format>
    <format dxfId="31">
      <pivotArea dataOnly="0" labelOnly="1" fieldPosition="0">
        <references count="1">
          <reference field="4" count="0"/>
        </references>
      </pivotArea>
    </format>
    <format dxfId="30">
      <pivotArea dataOnly="0" labelOnly="1" grandRow="1" outline="0" fieldPosition="0"/>
    </format>
    <format dxfId="29">
      <pivotArea dataOnly="0" labelOnly="1" grandRow="1" outline="0" fieldPosition="0"/>
    </format>
    <format dxfId="28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2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15F8F8-5090-420C-B1F2-CE17B448143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4" firstHeaderRow="0" firstDataRow="1" firstDataCol="1"/>
  <pivotFields count="17"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numFmtId="165" showAll="0"/>
    <pivotField axis="axisRow" showAll="0" sortType="descending">
      <items count="11">
        <item sd="0" x="6"/>
        <item sd="0" x="0"/>
        <item sd="0" x="4"/>
        <item sd="0" x="3"/>
        <item sd="0" x="9"/>
        <item sd="0" x="7"/>
        <item sd="0" x="2"/>
        <item sd="0" x="5"/>
        <item sd="0" x="8"/>
        <item sd="0" x="1"/>
        <item t="default" sd="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showAll="0">
      <items count="9">
        <item x="1"/>
        <item x="0"/>
        <item x="2"/>
        <item x="3"/>
        <item x="6"/>
        <item x="4"/>
        <item x="5"/>
        <item x="7"/>
        <item t="default"/>
      </items>
    </pivotField>
    <pivotField showAll="0"/>
    <pivotField dragToRow="0" dragToCol="0" dragToPage="0" showAll="0" defaultSubtotal="0"/>
    <pivotField dataField="1" dragToRow="0" dragToCol="0" dragToPage="0" showAll="0" defaultSubtotal="0"/>
  </pivotFields>
  <rowFields count="2">
    <field x="12"/>
    <field x="13"/>
  </rowFields>
  <rowItems count="11">
    <i>
      <x v="4"/>
    </i>
    <i>
      <x v="1"/>
    </i>
    <i>
      <x v="9"/>
    </i>
    <i>
      <x/>
    </i>
    <i>
      <x v="7"/>
    </i>
    <i>
      <x v="2"/>
    </i>
    <i>
      <x v="6"/>
    </i>
    <i>
      <x v="5"/>
    </i>
    <i>
      <x v="8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A Total" fld="7" baseField="0" baseItem="0" numFmtId="164"/>
    <dataField name="total de  Marge" fld="10" baseField="0" baseItem="0" numFmtId="164"/>
    <dataField name="Total de Taux de Marge Réel Clients" fld="16" baseField="0" baseItem="0" numFmtId="165"/>
  </dataFields>
  <formats count="6">
    <format dxfId="2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A4B704-5ADD-4CF4-9FF7-4C3E4D3D86A1}" name="Tbl_Clients" displayName="Tbl_Clients" ref="A1:F11" totalsRowShown="0" headerRowDxfId="47">
  <autoFilter ref="A1:F11" xr:uid="{FEA4B704-5ADD-4CF4-9FF7-4C3E4D3D86A1}"/>
  <tableColumns count="6">
    <tableColumn id="1" xr3:uid="{F9FDF6B3-53DD-4E15-BAF2-4CBA70077286}" name="Client ID"/>
    <tableColumn id="2" xr3:uid="{AEB5F13E-EC0E-43BE-BD03-E3DD67AA8945}" name="Client Name"/>
    <tableColumn id="3" xr3:uid="{9858F714-46D0-495E-8EF5-B6D1232104D4}" name="Sector"/>
    <tableColumn id="4" xr3:uid="{4C451766-8823-410A-B89D-BB770D974208}" name="Région"/>
    <tableColumn id="5" xr3:uid="{BE102AAA-C5BF-4A52-8D74-B37CFA3CA71F}" name="Account  Manager"/>
    <tableColumn id="6" xr3:uid="{3D4110F8-13BC-460A-B2E6-19D4ED2DFBFD}" name="Account siz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904D43-8C1D-4400-8A2B-6D423DC60D66}" name="Tbl_Ventes" displayName="Tbl_Ventes" ref="A1:O61" totalsRowShown="0" headerRowDxfId="46">
  <autoFilter ref="A1:O61" xr:uid="{24904D43-8C1D-4400-8A2B-6D423DC60D66}"/>
  <tableColumns count="15">
    <tableColumn id="1" xr3:uid="{293274EE-D560-4F04-86A3-77BC9B5B5622}" name="N° Commande"/>
    <tableColumn id="2" xr3:uid="{1AC68FD0-C7FC-4307-84A6-05C39D7F90B7}" name="Date" dataDxfId="45"/>
    <tableColumn id="3" xr3:uid="{5CB8A5EE-35D6-4319-B5E5-10E92A3F6A4D}" name="ID Client"/>
    <tableColumn id="4" xr3:uid="{30F48E57-8515-4A5A-AB3D-A3A593CD5480}" name="Région"/>
    <tableColumn id="5" xr3:uid="{83EDEBDD-4619-480C-8A47-6396C4A7D601}" name="Produit"/>
    <tableColumn id="6" xr3:uid="{135CD0C3-B7B2-4A47-BC13-5623FE6AF47D}" name="Quantité" dataDxfId="44"/>
    <tableColumn id="7" xr3:uid="{9081F25F-2096-4E4A-A47B-1B28753E3E13}" name="Prix Unitaire" dataDxfId="43"/>
    <tableColumn id="8" xr3:uid="{BCA06EAD-4BD9-41A4-821A-AD0287AADC8C}" name="Chiffre d'Affaires" dataDxfId="42">
      <calculatedColumnFormula>Tbl_Ventes[[#This Row],[Quantité]]*Tbl_Ventes[[#This Row],[Prix Unitaire]]</calculatedColumnFormula>
    </tableColumn>
    <tableColumn id="9" xr3:uid="{B7665C07-32CF-4671-91AC-0A5B3E42B408}" name="Coût Unitaire Direct" dataDxfId="41"/>
    <tableColumn id="10" xr3:uid="{2875B31D-8A7E-4215-B543-8FC5B6F768E8}" name="Coût Direct Total" dataDxfId="40">
      <calculatedColumnFormula>Tbl_Ventes[[#This Row],[Quantité]]*Tbl_Ventes[[#This Row],[Coût Unitaire Direct]]</calculatedColumnFormula>
    </tableColumn>
    <tableColumn id="11" xr3:uid="{F820099C-2139-41CC-B33F-0D4D8C78EBF3}" name="Marge" dataDxfId="39">
      <calculatedColumnFormula>Tbl_Ventes[[#This Row],[Chiffre d''Affaires]]-Tbl_Ventes[[#This Row],[Coût Direct Total]]</calculatedColumnFormula>
    </tableColumn>
    <tableColumn id="12" xr3:uid="{F3981094-F5E4-4758-A397-FBE4D89ED4C3}" name="Taux de Marge" dataDxfId="38">
      <calculatedColumnFormula>Tbl_Ventes[[#This Row],[Marge]]/Tbl_Ventes[[#This Row],[Chiffre d''Affaires]]</calculatedColumnFormula>
    </tableColumn>
    <tableColumn id="13" xr3:uid="{154A9952-A4F6-4930-BE9B-319297DA536B}" name="Nom Client" dataDxfId="37">
      <calculatedColumnFormula>_xlfn.XLOOKUP(Tbl_Ventes[[#This Row],[ID Client]],Tbl_Clients[Client ID],Tbl_Clients[Client Name])</calculatedColumnFormula>
    </tableColumn>
    <tableColumn id="14" xr3:uid="{F26CF949-0372-4AF6-9442-604BF615D2B7}" name="Secteur" dataDxfId="36">
      <calculatedColumnFormula>_xlfn.XLOOKUP(Tbl_Ventes[[#This Row],[ID Client]],Tbl_Clients[Client ID],Tbl_Clients[Sector])</calculatedColumnFormula>
    </tableColumn>
    <tableColumn id="15" xr3:uid="{0DFD0B1A-4E44-4152-BCA3-441300F5B344}" name="chargé de compte" dataDxfId="35">
      <calculatedColumnFormula>_xlfn.XLOOKUP(Tbl_Ventes[[#This Row],[ID Client]],Tbl_Clients[Client ID],Tbl_Clients[Account  Manager])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E6814-F1B8-4CC8-99CF-05F8381C6780}">
  <dimension ref="B2:C26"/>
  <sheetViews>
    <sheetView showGridLines="0" workbookViewId="0">
      <selection activeCell="B2" sqref="B2"/>
    </sheetView>
  </sheetViews>
  <sheetFormatPr defaultRowHeight="14.4"/>
  <cols>
    <col min="2" max="2" width="48.109375" customWidth="1"/>
    <col min="3" max="3" width="44.44140625" customWidth="1"/>
  </cols>
  <sheetData>
    <row r="2" spans="2:3" s="48" customFormat="1" ht="42">
      <c r="B2" s="46" t="s">
        <v>214</v>
      </c>
      <c r="C2" s="47"/>
    </row>
    <row r="3" spans="2:3">
      <c r="B3" s="41"/>
    </row>
    <row r="4" spans="2:3" ht="43.2">
      <c r="B4" s="34" t="s">
        <v>215</v>
      </c>
    </row>
    <row r="5" spans="2:3">
      <c r="B5" s="34"/>
    </row>
    <row r="6" spans="2:3">
      <c r="B6" s="34"/>
    </row>
    <row r="7" spans="2:3">
      <c r="B7" s="34"/>
    </row>
    <row r="8" spans="2:3">
      <c r="B8" s="40" t="s">
        <v>216</v>
      </c>
      <c r="C8" s="40" t="s">
        <v>217</v>
      </c>
    </row>
    <row r="9" spans="2:3">
      <c r="B9" t="s">
        <v>218</v>
      </c>
      <c r="C9" t="s">
        <v>219</v>
      </c>
    </row>
    <row r="10" spans="2:3">
      <c r="B10" t="s">
        <v>220</v>
      </c>
      <c r="C10" t="s">
        <v>221</v>
      </c>
    </row>
    <row r="11" spans="2:3">
      <c r="B11" t="s">
        <v>222</v>
      </c>
      <c r="C11" t="s">
        <v>223</v>
      </c>
    </row>
    <row r="12" spans="2:3">
      <c r="B12" t="s">
        <v>224</v>
      </c>
      <c r="C12" t="s">
        <v>225</v>
      </c>
    </row>
    <row r="13" spans="2:3">
      <c r="B13" t="s">
        <v>226</v>
      </c>
      <c r="C13" t="s">
        <v>227</v>
      </c>
    </row>
    <row r="14" spans="2:3">
      <c r="B14" t="s">
        <v>228</v>
      </c>
      <c r="C14" t="s">
        <v>229</v>
      </c>
    </row>
    <row r="15" spans="2:3">
      <c r="B15" t="s">
        <v>230</v>
      </c>
      <c r="C15" t="s">
        <v>231</v>
      </c>
    </row>
    <row r="16" spans="2:3">
      <c r="B16" t="s">
        <v>232</v>
      </c>
      <c r="C16" t="s">
        <v>233</v>
      </c>
    </row>
    <row r="17" spans="2:3">
      <c r="B17" t="s">
        <v>234</v>
      </c>
      <c r="C17" t="s">
        <v>235</v>
      </c>
    </row>
    <row r="18" spans="2:3">
      <c r="B18" t="s">
        <v>236</v>
      </c>
      <c r="C18" t="s">
        <v>237</v>
      </c>
    </row>
    <row r="19" spans="2:3">
      <c r="B19" t="s">
        <v>238</v>
      </c>
      <c r="C19" t="s">
        <v>239</v>
      </c>
    </row>
    <row r="20" spans="2:3">
      <c r="B20" t="s">
        <v>240</v>
      </c>
      <c r="C20" t="s">
        <v>241</v>
      </c>
    </row>
    <row r="21" spans="2:3">
      <c r="B21" t="s">
        <v>242</v>
      </c>
      <c r="C21" t="s">
        <v>243</v>
      </c>
    </row>
    <row r="23" spans="2:3">
      <c r="B23" s="40" t="s">
        <v>244</v>
      </c>
      <c r="C23" s="40"/>
    </row>
    <row r="24" spans="2:3">
      <c r="B24" t="s">
        <v>245</v>
      </c>
    </row>
    <row r="25" spans="2:3" ht="43.2">
      <c r="B25" s="34" t="s">
        <v>246</v>
      </c>
    </row>
    <row r="26" spans="2:3">
      <c r="B26" t="s">
        <v>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F9944-72B0-4FCF-B8CB-38763F7CB77C}">
  <dimension ref="A1:F48"/>
  <sheetViews>
    <sheetView showGridLines="0" workbookViewId="0">
      <selection activeCell="B5" sqref="B5"/>
    </sheetView>
  </sheetViews>
  <sheetFormatPr defaultRowHeight="14.4"/>
  <cols>
    <col min="1" max="1" width="2.77734375" customWidth="1"/>
    <col min="2" max="2" width="100.77734375" customWidth="1"/>
    <col min="3" max="3" width="15.77734375" customWidth="1"/>
    <col min="4" max="4" width="17.77734375" customWidth="1"/>
    <col min="5" max="5" width="20" customWidth="1"/>
    <col min="6" max="6" width="14.6640625" customWidth="1"/>
  </cols>
  <sheetData>
    <row r="1" spans="1:5" s="50" customFormat="1" ht="21">
      <c r="A1" s="49" t="s">
        <v>73</v>
      </c>
      <c r="B1" s="49"/>
      <c r="C1" s="49"/>
      <c r="D1" s="49"/>
      <c r="E1" s="49"/>
    </row>
    <row r="4" spans="1:5">
      <c r="B4" s="33" t="s">
        <v>74</v>
      </c>
    </row>
    <row r="5" spans="1:5" ht="43.2">
      <c r="B5" s="34" t="s">
        <v>210</v>
      </c>
    </row>
    <row r="6" spans="1:5">
      <c r="B6" s="34"/>
    </row>
    <row r="7" spans="1:5">
      <c r="B7" s="33" t="s">
        <v>75</v>
      </c>
    </row>
    <row r="8" spans="1:5" ht="43.2">
      <c r="B8" s="34" t="s">
        <v>211</v>
      </c>
    </row>
    <row r="9" spans="1:5" ht="28.8">
      <c r="B9" s="34" t="s">
        <v>76</v>
      </c>
    </row>
    <row r="11" spans="1:5">
      <c r="B11" s="33" t="s">
        <v>77</v>
      </c>
    </row>
    <row r="12" spans="1:5" ht="28.8">
      <c r="B12" s="34" t="s">
        <v>212</v>
      </c>
    </row>
    <row r="13" spans="1:5" ht="28.8">
      <c r="B13" s="34" t="s">
        <v>78</v>
      </c>
    </row>
    <row r="14" spans="1:5">
      <c r="B14" s="34"/>
    </row>
    <row r="15" spans="1:5">
      <c r="B15" s="33" t="s">
        <v>79</v>
      </c>
    </row>
    <row r="16" spans="1:5" ht="43.2">
      <c r="B16" s="34" t="s">
        <v>213</v>
      </c>
    </row>
    <row r="17" spans="2:2" ht="28.8">
      <c r="B17" s="34" t="s">
        <v>80</v>
      </c>
    </row>
    <row r="24" spans="2:2" ht="23.4">
      <c r="B24" s="19"/>
    </row>
    <row r="26" spans="2:2" ht="18">
      <c r="B26" s="20"/>
    </row>
    <row r="30" spans="2:2" ht="18">
      <c r="B30" s="20"/>
    </row>
    <row r="31" spans="2:2">
      <c r="B31" s="21"/>
    </row>
    <row r="32" spans="2:2">
      <c r="B32" s="22"/>
    </row>
    <row r="33" spans="2:6">
      <c r="B33" s="22"/>
    </row>
    <row r="34" spans="2:6">
      <c r="B34" s="22"/>
    </row>
    <row r="35" spans="2:6">
      <c r="B35" s="22"/>
    </row>
    <row r="37" spans="2:6" ht="18">
      <c r="B37" s="20"/>
    </row>
    <row r="39" spans="2:6">
      <c r="B39" s="23"/>
      <c r="C39" s="23"/>
      <c r="D39" s="23"/>
      <c r="E39" s="23"/>
      <c r="F39" s="23"/>
    </row>
    <row r="40" spans="2:6">
      <c r="B40" s="24"/>
      <c r="C40" s="24"/>
      <c r="D40" s="24"/>
      <c r="E40" s="24"/>
      <c r="F40" s="24"/>
    </row>
    <row r="41" spans="2:6">
      <c r="B41" s="24"/>
      <c r="C41" s="24"/>
      <c r="D41" s="24"/>
      <c r="E41" s="24"/>
      <c r="F41" s="24"/>
    </row>
    <row r="42" spans="2:6">
      <c r="B42" s="24"/>
      <c r="C42" s="24"/>
      <c r="D42" s="24"/>
      <c r="E42" s="24"/>
      <c r="F42" s="24"/>
    </row>
    <row r="44" spans="2:6" ht="18">
      <c r="B44" s="20"/>
    </row>
    <row r="45" spans="2:6">
      <c r="B45" s="21"/>
    </row>
    <row r="46" spans="2:6">
      <c r="B46" s="21"/>
    </row>
    <row r="47" spans="2:6">
      <c r="B47" s="22"/>
    </row>
    <row r="48" spans="2:6">
      <c r="B48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4CB78-8B15-44BE-A91F-93741625CFEA}">
  <dimension ref="B3:B23"/>
  <sheetViews>
    <sheetView showGridLines="0" workbookViewId="0">
      <selection activeCell="B3" sqref="B3"/>
    </sheetView>
  </sheetViews>
  <sheetFormatPr defaultRowHeight="14.4"/>
  <cols>
    <col min="1" max="1" width="2.77734375" customWidth="1"/>
    <col min="2" max="2" width="100.77734375" customWidth="1"/>
  </cols>
  <sheetData>
    <row r="3" spans="2:2" ht="15.6">
      <c r="B3" s="45" t="s">
        <v>251</v>
      </c>
    </row>
    <row r="5" spans="2:2" ht="28.8">
      <c r="B5" s="34" t="s">
        <v>197</v>
      </c>
    </row>
    <row r="6" spans="2:2">
      <c r="B6" s="34"/>
    </row>
    <row r="7" spans="2:2" ht="15.6">
      <c r="B7" s="45" t="s">
        <v>250</v>
      </c>
    </row>
    <row r="8" spans="2:2" ht="28.8">
      <c r="B8" s="34" t="s">
        <v>198</v>
      </c>
    </row>
    <row r="9" spans="2:2" ht="28.8">
      <c r="B9" s="34" t="s">
        <v>199</v>
      </c>
    </row>
    <row r="10" spans="2:2">
      <c r="B10" s="34" t="s">
        <v>200</v>
      </c>
    </row>
    <row r="12" spans="2:2">
      <c r="B12" s="34"/>
    </row>
    <row r="13" spans="2:2" ht="15.6">
      <c r="B13" s="45" t="s">
        <v>249</v>
      </c>
    </row>
    <row r="14" spans="2:2" ht="28.8">
      <c r="B14" s="34" t="s">
        <v>201</v>
      </c>
    </row>
    <row r="15" spans="2:2" ht="28.8">
      <c r="B15" s="34" t="s">
        <v>202</v>
      </c>
    </row>
    <row r="17" spans="2:2">
      <c r="B17" s="34"/>
    </row>
    <row r="18" spans="2:2">
      <c r="B18" s="34"/>
    </row>
    <row r="19" spans="2:2" ht="15.6">
      <c r="B19" s="45" t="s">
        <v>248</v>
      </c>
    </row>
    <row r="20" spans="2:2" ht="28.8">
      <c r="B20" s="34" t="s">
        <v>203</v>
      </c>
    </row>
    <row r="21" spans="2:2">
      <c r="B21" s="34" t="s">
        <v>204</v>
      </c>
    </row>
    <row r="22" spans="2:2" ht="28.8">
      <c r="B22" s="34" t="s">
        <v>205</v>
      </c>
    </row>
    <row r="23" spans="2:2">
      <c r="B23" s="34" t="s">
        <v>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37867-3218-486C-AC2A-B7DD1DDCEB1E}">
  <dimension ref="A1:N147"/>
  <sheetViews>
    <sheetView topLeftCell="A3" workbookViewId="0">
      <selection activeCell="J2" sqref="J2"/>
    </sheetView>
  </sheetViews>
  <sheetFormatPr defaultRowHeight="14.4"/>
  <cols>
    <col min="4" max="4" width="11.109375" bestFit="1" customWidth="1"/>
    <col min="5" max="5" width="13.5546875" bestFit="1" customWidth="1"/>
    <col min="6" max="6" width="9.88671875" bestFit="1" customWidth="1"/>
    <col min="7" max="7" width="19.109375" bestFit="1" customWidth="1"/>
    <col min="8" max="8" width="14.77734375" bestFit="1" customWidth="1"/>
    <col min="9" max="9" width="19.109375" bestFit="1" customWidth="1"/>
    <col min="10" max="10" width="5.88671875" customWidth="1"/>
    <col min="11" max="11" width="11.44140625" bestFit="1" customWidth="1"/>
    <col min="12" max="12" width="12.109375" bestFit="1" customWidth="1"/>
    <col min="13" max="13" width="11.6640625" bestFit="1" customWidth="1"/>
    <col min="14" max="14" width="12.33203125" bestFit="1" customWidth="1"/>
  </cols>
  <sheetData>
    <row r="1" spans="1:1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30</v>
      </c>
      <c r="H1" s="1" t="s">
        <v>31</v>
      </c>
      <c r="I1" s="1" t="s">
        <v>32</v>
      </c>
      <c r="K1" s="1" t="s">
        <v>3</v>
      </c>
      <c r="L1" s="1" t="s">
        <v>6</v>
      </c>
      <c r="M1" s="1" t="s">
        <v>7</v>
      </c>
      <c r="N1" s="1" t="s">
        <v>8</v>
      </c>
    </row>
    <row r="2" spans="1:14">
      <c r="A2" t="s">
        <v>14</v>
      </c>
      <c r="B2">
        <v>1</v>
      </c>
      <c r="C2" t="s">
        <v>26</v>
      </c>
      <c r="D2" t="s">
        <v>11</v>
      </c>
      <c r="E2" s="35">
        <f>ROUND(VLOOKUP($D2,$K$2:$N$4,2,FALSE)*VLOOKUP($A2,$K$8:$L$19,2,FALSE)*VLOOKUP($C2,$K$23:$L$26,2,FALSE),0)</f>
        <v>1778</v>
      </c>
      <c r="F2" s="36">
        <f>E2*VLOOKUP($D2,$K$2:$N$4,3,FALSE)</f>
        <v>80010</v>
      </c>
      <c r="G2" s="36">
        <f>E2*VLOOKUP($D2,$K$2:$N$4,4,FALSE)*0.65</f>
        <v>32359.600000000002</v>
      </c>
      <c r="H2" s="36">
        <f>E2*VLOOKUP($D2,$K$2:$N$4,4,FALSE)*0.35</f>
        <v>17424.399999999998</v>
      </c>
      <c r="I2" s="36">
        <f>F2*0.08</f>
        <v>6400.8</v>
      </c>
      <c r="J2" s="4"/>
      <c r="K2" s="4" t="s">
        <v>11</v>
      </c>
      <c r="L2" s="35">
        <v>5200</v>
      </c>
      <c r="M2" s="37">
        <v>45</v>
      </c>
      <c r="N2" s="37">
        <v>28</v>
      </c>
    </row>
    <row r="3" spans="1:14">
      <c r="A3" t="s">
        <v>14</v>
      </c>
      <c r="B3">
        <v>1</v>
      </c>
      <c r="C3" t="s">
        <v>27</v>
      </c>
      <c r="D3" t="s">
        <v>11</v>
      </c>
      <c r="E3" s="35">
        <f t="shared" ref="E3:E66" si="0">ROUND(VLOOKUP($D3,$K$2:$N$4,2,FALSE)*VLOOKUP($A3,$K$8:$L$19,2,FALSE)*VLOOKUP($C3,$K$23:$L$26,2,FALSE),0)</f>
        <v>1123</v>
      </c>
      <c r="F3" s="36">
        <f t="shared" ref="F3:F66" si="1">E3*VLOOKUP($D3,$K$2:$N$4,3,FALSE)</f>
        <v>50535</v>
      </c>
      <c r="G3" s="36">
        <f t="shared" ref="G3:G66" si="2">E3*VLOOKUP($D3,$K$2:$N$4,4,FALSE)*0.65</f>
        <v>20438.600000000002</v>
      </c>
      <c r="H3" s="36">
        <f t="shared" ref="H3:H66" si="3">E3*VLOOKUP($D3,$K$2:$N$4,4,FALSE)*0.35</f>
        <v>11005.4</v>
      </c>
      <c r="I3" s="36">
        <f t="shared" ref="I3:I66" si="4">F3*0.08</f>
        <v>4042.8</v>
      </c>
      <c r="K3" t="s">
        <v>12</v>
      </c>
      <c r="L3" s="35">
        <v>620</v>
      </c>
      <c r="M3" s="37">
        <v>320</v>
      </c>
      <c r="N3" s="37">
        <v>210</v>
      </c>
    </row>
    <row r="4" spans="1:14">
      <c r="A4" t="s">
        <v>14</v>
      </c>
      <c r="B4">
        <v>1</v>
      </c>
      <c r="C4" t="s">
        <v>28</v>
      </c>
      <c r="D4" t="s">
        <v>11</v>
      </c>
      <c r="E4" s="35">
        <f t="shared" si="0"/>
        <v>1030</v>
      </c>
      <c r="F4" s="36">
        <f t="shared" si="1"/>
        <v>46350</v>
      </c>
      <c r="G4" s="36">
        <f t="shared" si="2"/>
        <v>18746</v>
      </c>
      <c r="H4" s="36">
        <f t="shared" si="3"/>
        <v>10094</v>
      </c>
      <c r="I4" s="36">
        <f t="shared" si="4"/>
        <v>3708</v>
      </c>
      <c r="K4" t="s">
        <v>13</v>
      </c>
      <c r="L4" s="35">
        <v>380</v>
      </c>
      <c r="M4" s="37">
        <v>150</v>
      </c>
      <c r="N4" s="37">
        <v>90</v>
      </c>
    </row>
    <row r="5" spans="1:14">
      <c r="A5" t="s">
        <v>14</v>
      </c>
      <c r="B5">
        <v>1</v>
      </c>
      <c r="C5" t="s">
        <v>29</v>
      </c>
      <c r="D5" t="s">
        <v>11</v>
      </c>
      <c r="E5" s="35">
        <f t="shared" si="0"/>
        <v>749</v>
      </c>
      <c r="F5" s="36">
        <f t="shared" si="1"/>
        <v>33705</v>
      </c>
      <c r="G5" s="36">
        <f t="shared" si="2"/>
        <v>13631.800000000001</v>
      </c>
      <c r="H5" s="36">
        <f t="shared" si="3"/>
        <v>7340.2</v>
      </c>
      <c r="I5" s="36">
        <f t="shared" si="4"/>
        <v>2696.4</v>
      </c>
    </row>
    <row r="6" spans="1:14">
      <c r="A6" t="s">
        <v>14</v>
      </c>
      <c r="B6">
        <v>1</v>
      </c>
      <c r="C6" t="s">
        <v>26</v>
      </c>
      <c r="D6" t="s">
        <v>12</v>
      </c>
      <c r="E6" s="35">
        <f t="shared" si="0"/>
        <v>212</v>
      </c>
      <c r="F6" s="36">
        <f t="shared" si="1"/>
        <v>67840</v>
      </c>
      <c r="G6" s="36">
        <f t="shared" si="2"/>
        <v>28938</v>
      </c>
      <c r="H6" s="36">
        <f t="shared" si="3"/>
        <v>15581.999999999998</v>
      </c>
      <c r="I6" s="36">
        <f t="shared" si="4"/>
        <v>5427.2</v>
      </c>
    </row>
    <row r="7" spans="1:14">
      <c r="A7" t="s">
        <v>14</v>
      </c>
      <c r="B7">
        <v>1</v>
      </c>
      <c r="C7" t="s">
        <v>27</v>
      </c>
      <c r="D7" t="s">
        <v>12</v>
      </c>
      <c r="E7" s="35">
        <f t="shared" si="0"/>
        <v>134</v>
      </c>
      <c r="F7" s="36">
        <f t="shared" si="1"/>
        <v>42880</v>
      </c>
      <c r="G7" s="36">
        <f t="shared" si="2"/>
        <v>18291</v>
      </c>
      <c r="H7" s="36">
        <f t="shared" si="3"/>
        <v>9849</v>
      </c>
      <c r="I7" s="36">
        <f t="shared" si="4"/>
        <v>3430.4</v>
      </c>
      <c r="K7" s="2" t="s">
        <v>0</v>
      </c>
      <c r="L7" s="2" t="s">
        <v>9</v>
      </c>
    </row>
    <row r="8" spans="1:14">
      <c r="A8" t="s">
        <v>14</v>
      </c>
      <c r="B8">
        <v>1</v>
      </c>
      <c r="C8" t="s">
        <v>28</v>
      </c>
      <c r="D8" t="s">
        <v>12</v>
      </c>
      <c r="E8" s="35">
        <f t="shared" si="0"/>
        <v>123</v>
      </c>
      <c r="F8" s="36">
        <f t="shared" si="1"/>
        <v>39360</v>
      </c>
      <c r="G8" s="36">
        <f t="shared" si="2"/>
        <v>16789.5</v>
      </c>
      <c r="H8" s="36">
        <f t="shared" si="3"/>
        <v>9040.5</v>
      </c>
      <c r="I8" s="36">
        <f t="shared" si="4"/>
        <v>3148.8</v>
      </c>
      <c r="K8" t="s">
        <v>14</v>
      </c>
      <c r="L8" s="3">
        <v>0.9</v>
      </c>
    </row>
    <row r="9" spans="1:14">
      <c r="A9" t="s">
        <v>14</v>
      </c>
      <c r="B9">
        <v>1</v>
      </c>
      <c r="C9" t="s">
        <v>29</v>
      </c>
      <c r="D9" t="s">
        <v>12</v>
      </c>
      <c r="E9" s="35">
        <f t="shared" si="0"/>
        <v>89</v>
      </c>
      <c r="F9" s="36">
        <f t="shared" si="1"/>
        <v>28480</v>
      </c>
      <c r="G9" s="36">
        <f t="shared" si="2"/>
        <v>12148.5</v>
      </c>
      <c r="H9" s="36">
        <f t="shared" si="3"/>
        <v>6541.5</v>
      </c>
      <c r="I9" s="36">
        <f t="shared" si="4"/>
        <v>2278.4</v>
      </c>
      <c r="K9" t="s">
        <v>15</v>
      </c>
      <c r="L9" s="3">
        <v>0.92</v>
      </c>
    </row>
    <row r="10" spans="1:14">
      <c r="A10" t="s">
        <v>14</v>
      </c>
      <c r="B10">
        <v>1</v>
      </c>
      <c r="C10" t="s">
        <v>26</v>
      </c>
      <c r="D10" t="s">
        <v>13</v>
      </c>
      <c r="E10" s="35">
        <f t="shared" si="0"/>
        <v>130</v>
      </c>
      <c r="F10" s="36">
        <f t="shared" si="1"/>
        <v>19500</v>
      </c>
      <c r="G10" s="36">
        <f t="shared" si="2"/>
        <v>7605</v>
      </c>
      <c r="H10" s="36">
        <f t="shared" si="3"/>
        <v>4094.9999999999995</v>
      </c>
      <c r="I10" s="36">
        <f t="shared" si="4"/>
        <v>1560</v>
      </c>
      <c r="K10" t="s">
        <v>16</v>
      </c>
      <c r="L10" s="3">
        <v>1</v>
      </c>
    </row>
    <row r="11" spans="1:14">
      <c r="A11" t="s">
        <v>14</v>
      </c>
      <c r="B11">
        <v>1</v>
      </c>
      <c r="C11" t="s">
        <v>27</v>
      </c>
      <c r="D11" t="s">
        <v>13</v>
      </c>
      <c r="E11" s="35">
        <f t="shared" si="0"/>
        <v>82</v>
      </c>
      <c r="F11" s="36">
        <f t="shared" si="1"/>
        <v>12300</v>
      </c>
      <c r="G11" s="36">
        <f t="shared" si="2"/>
        <v>4797</v>
      </c>
      <c r="H11" s="36">
        <f t="shared" si="3"/>
        <v>2583</v>
      </c>
      <c r="I11" s="36">
        <f t="shared" si="4"/>
        <v>984</v>
      </c>
      <c r="K11" t="s">
        <v>17</v>
      </c>
      <c r="L11" s="3">
        <v>1.02</v>
      </c>
    </row>
    <row r="12" spans="1:14">
      <c r="A12" t="s">
        <v>14</v>
      </c>
      <c r="B12">
        <v>1</v>
      </c>
      <c r="C12" t="s">
        <v>28</v>
      </c>
      <c r="D12" t="s">
        <v>13</v>
      </c>
      <c r="E12" s="35">
        <f t="shared" si="0"/>
        <v>75</v>
      </c>
      <c r="F12" s="36">
        <f t="shared" si="1"/>
        <v>11250</v>
      </c>
      <c r="G12" s="36">
        <f t="shared" si="2"/>
        <v>4387.5</v>
      </c>
      <c r="H12" s="36">
        <f t="shared" si="3"/>
        <v>2362.5</v>
      </c>
      <c r="I12" s="36">
        <f t="shared" si="4"/>
        <v>900</v>
      </c>
      <c r="K12" t="s">
        <v>18</v>
      </c>
      <c r="L12" s="3">
        <v>1.03</v>
      </c>
    </row>
    <row r="13" spans="1:14">
      <c r="A13" t="s">
        <v>14</v>
      </c>
      <c r="B13">
        <v>1</v>
      </c>
      <c r="C13" t="s">
        <v>29</v>
      </c>
      <c r="D13" t="s">
        <v>13</v>
      </c>
      <c r="E13" s="35">
        <f t="shared" si="0"/>
        <v>55</v>
      </c>
      <c r="F13" s="36">
        <f t="shared" si="1"/>
        <v>8250</v>
      </c>
      <c r="G13" s="36">
        <f t="shared" si="2"/>
        <v>3217.5</v>
      </c>
      <c r="H13" s="36">
        <f t="shared" si="3"/>
        <v>1732.5</v>
      </c>
      <c r="I13" s="36">
        <f t="shared" si="4"/>
        <v>660</v>
      </c>
      <c r="K13" t="s">
        <v>19</v>
      </c>
      <c r="L13" s="3">
        <v>1.05</v>
      </c>
    </row>
    <row r="14" spans="1:14">
      <c r="A14" t="s">
        <v>15</v>
      </c>
      <c r="B14">
        <v>2</v>
      </c>
      <c r="C14" t="s">
        <v>26</v>
      </c>
      <c r="D14" t="s">
        <v>11</v>
      </c>
      <c r="E14" s="35">
        <f t="shared" si="0"/>
        <v>1818</v>
      </c>
      <c r="F14" s="36">
        <f t="shared" si="1"/>
        <v>81810</v>
      </c>
      <c r="G14" s="36">
        <f t="shared" si="2"/>
        <v>33087.599999999999</v>
      </c>
      <c r="H14" s="36">
        <f t="shared" si="3"/>
        <v>17816.399999999998</v>
      </c>
      <c r="I14" s="36">
        <f t="shared" si="4"/>
        <v>6544.8</v>
      </c>
      <c r="K14" t="s">
        <v>20</v>
      </c>
      <c r="L14" s="3">
        <v>0.95</v>
      </c>
    </row>
    <row r="15" spans="1:14">
      <c r="A15" t="s">
        <v>15</v>
      </c>
      <c r="B15">
        <v>2</v>
      </c>
      <c r="C15" t="s">
        <v>27</v>
      </c>
      <c r="D15" t="s">
        <v>11</v>
      </c>
      <c r="E15" s="35">
        <f t="shared" si="0"/>
        <v>1148</v>
      </c>
      <c r="F15" s="36">
        <f t="shared" si="1"/>
        <v>51660</v>
      </c>
      <c r="G15" s="36">
        <f t="shared" si="2"/>
        <v>20893.600000000002</v>
      </c>
      <c r="H15" s="36">
        <f t="shared" si="3"/>
        <v>11250.4</v>
      </c>
      <c r="I15" s="36">
        <f t="shared" si="4"/>
        <v>4132.8</v>
      </c>
      <c r="K15" t="s">
        <v>21</v>
      </c>
      <c r="L15" s="3">
        <v>0.55000000000000004</v>
      </c>
    </row>
    <row r="16" spans="1:14">
      <c r="A16" t="s">
        <v>15</v>
      </c>
      <c r="B16">
        <v>2</v>
      </c>
      <c r="C16" t="s">
        <v>28</v>
      </c>
      <c r="D16" t="s">
        <v>11</v>
      </c>
      <c r="E16" s="35">
        <f t="shared" si="0"/>
        <v>1052</v>
      </c>
      <c r="F16" s="36">
        <f t="shared" si="1"/>
        <v>47340</v>
      </c>
      <c r="G16" s="36">
        <f t="shared" si="2"/>
        <v>19146.400000000001</v>
      </c>
      <c r="H16" s="36">
        <f t="shared" si="3"/>
        <v>10309.599999999999</v>
      </c>
      <c r="I16" s="36">
        <f t="shared" si="4"/>
        <v>3787.2000000000003</v>
      </c>
      <c r="K16" t="s">
        <v>22</v>
      </c>
      <c r="L16" s="3">
        <v>1</v>
      </c>
    </row>
    <row r="17" spans="1:12">
      <c r="A17" t="s">
        <v>15</v>
      </c>
      <c r="B17">
        <v>2</v>
      </c>
      <c r="C17" t="s">
        <v>29</v>
      </c>
      <c r="D17" t="s">
        <v>11</v>
      </c>
      <c r="E17" s="35">
        <f t="shared" si="0"/>
        <v>765</v>
      </c>
      <c r="F17" s="36">
        <f t="shared" si="1"/>
        <v>34425</v>
      </c>
      <c r="G17" s="36">
        <f t="shared" si="2"/>
        <v>13923</v>
      </c>
      <c r="H17" s="36">
        <f t="shared" si="3"/>
        <v>7496.9999999999991</v>
      </c>
      <c r="I17" s="36">
        <f t="shared" si="4"/>
        <v>2754</v>
      </c>
      <c r="K17" t="s">
        <v>23</v>
      </c>
      <c r="L17" s="3">
        <v>1.08</v>
      </c>
    </row>
    <row r="18" spans="1:12">
      <c r="A18" t="s">
        <v>15</v>
      </c>
      <c r="B18">
        <v>2</v>
      </c>
      <c r="C18" t="s">
        <v>26</v>
      </c>
      <c r="D18" t="s">
        <v>12</v>
      </c>
      <c r="E18" s="35">
        <f t="shared" si="0"/>
        <v>217</v>
      </c>
      <c r="F18" s="36">
        <f t="shared" si="1"/>
        <v>69440</v>
      </c>
      <c r="G18" s="36">
        <f t="shared" si="2"/>
        <v>29620.5</v>
      </c>
      <c r="H18" s="36">
        <f t="shared" si="3"/>
        <v>15949.499999999998</v>
      </c>
      <c r="I18" s="36">
        <f t="shared" si="4"/>
        <v>5555.2</v>
      </c>
      <c r="K18" t="s">
        <v>24</v>
      </c>
      <c r="L18" s="3">
        <v>1.1200000000000001</v>
      </c>
    </row>
    <row r="19" spans="1:12">
      <c r="A19" t="s">
        <v>15</v>
      </c>
      <c r="B19">
        <v>2</v>
      </c>
      <c r="C19" t="s">
        <v>27</v>
      </c>
      <c r="D19" t="s">
        <v>12</v>
      </c>
      <c r="E19" s="35">
        <f t="shared" si="0"/>
        <v>137</v>
      </c>
      <c r="F19" s="36">
        <f t="shared" si="1"/>
        <v>43840</v>
      </c>
      <c r="G19" s="36">
        <f t="shared" si="2"/>
        <v>18700.5</v>
      </c>
      <c r="H19" s="36">
        <f t="shared" si="3"/>
        <v>10069.5</v>
      </c>
      <c r="I19" s="36">
        <f t="shared" si="4"/>
        <v>3507.2000000000003</v>
      </c>
      <c r="K19" t="s">
        <v>25</v>
      </c>
      <c r="L19" s="3">
        <v>1.2</v>
      </c>
    </row>
    <row r="20" spans="1:12">
      <c r="A20" t="s">
        <v>15</v>
      </c>
      <c r="B20">
        <v>2</v>
      </c>
      <c r="C20" t="s">
        <v>28</v>
      </c>
      <c r="D20" t="s">
        <v>12</v>
      </c>
      <c r="E20" s="35">
        <f t="shared" si="0"/>
        <v>125</v>
      </c>
      <c r="F20" s="36">
        <f t="shared" si="1"/>
        <v>40000</v>
      </c>
      <c r="G20" s="36">
        <f t="shared" si="2"/>
        <v>17062.5</v>
      </c>
      <c r="H20" s="36">
        <f t="shared" si="3"/>
        <v>9187.5</v>
      </c>
      <c r="I20" s="36">
        <f t="shared" si="4"/>
        <v>3200</v>
      </c>
    </row>
    <row r="21" spans="1:12">
      <c r="A21" t="s">
        <v>15</v>
      </c>
      <c r="B21">
        <v>2</v>
      </c>
      <c r="C21" t="s">
        <v>29</v>
      </c>
      <c r="D21" t="s">
        <v>12</v>
      </c>
      <c r="E21" s="35">
        <f t="shared" si="0"/>
        <v>91</v>
      </c>
      <c r="F21" s="36">
        <f t="shared" si="1"/>
        <v>29120</v>
      </c>
      <c r="G21" s="36">
        <f t="shared" si="2"/>
        <v>12421.5</v>
      </c>
      <c r="H21" s="36">
        <f t="shared" si="3"/>
        <v>6688.5</v>
      </c>
      <c r="I21" s="36">
        <f t="shared" si="4"/>
        <v>2329.6</v>
      </c>
    </row>
    <row r="22" spans="1:12">
      <c r="A22" t="s">
        <v>15</v>
      </c>
      <c r="B22">
        <v>2</v>
      </c>
      <c r="C22" t="s">
        <v>26</v>
      </c>
      <c r="D22" t="s">
        <v>13</v>
      </c>
      <c r="E22" s="35">
        <f t="shared" si="0"/>
        <v>133</v>
      </c>
      <c r="F22" s="36">
        <f t="shared" si="1"/>
        <v>19950</v>
      </c>
      <c r="G22" s="36">
        <f t="shared" si="2"/>
        <v>7780.5</v>
      </c>
      <c r="H22" s="36">
        <f t="shared" si="3"/>
        <v>4189.5</v>
      </c>
      <c r="I22" s="36">
        <f t="shared" si="4"/>
        <v>1596</v>
      </c>
      <c r="K22" s="2" t="s">
        <v>2</v>
      </c>
      <c r="L22" s="2" t="s">
        <v>10</v>
      </c>
    </row>
    <row r="23" spans="1:12">
      <c r="A23" t="s">
        <v>15</v>
      </c>
      <c r="B23">
        <v>2</v>
      </c>
      <c r="C23" t="s">
        <v>27</v>
      </c>
      <c r="D23" t="s">
        <v>13</v>
      </c>
      <c r="E23" s="35">
        <f t="shared" si="0"/>
        <v>84</v>
      </c>
      <c r="F23" s="36">
        <f t="shared" si="1"/>
        <v>12600</v>
      </c>
      <c r="G23" s="36">
        <f t="shared" si="2"/>
        <v>4914</v>
      </c>
      <c r="H23" s="36">
        <f t="shared" si="3"/>
        <v>2646</v>
      </c>
      <c r="I23" s="36">
        <f t="shared" si="4"/>
        <v>1008</v>
      </c>
      <c r="K23" t="s">
        <v>26</v>
      </c>
      <c r="L23" s="3">
        <v>0.38</v>
      </c>
    </row>
    <row r="24" spans="1:12">
      <c r="A24" t="s">
        <v>15</v>
      </c>
      <c r="B24">
        <v>2</v>
      </c>
      <c r="C24" t="s">
        <v>28</v>
      </c>
      <c r="D24" t="s">
        <v>13</v>
      </c>
      <c r="E24" s="35">
        <f t="shared" si="0"/>
        <v>77</v>
      </c>
      <c r="F24" s="36">
        <f t="shared" si="1"/>
        <v>11550</v>
      </c>
      <c r="G24" s="36">
        <f t="shared" si="2"/>
        <v>4504.5</v>
      </c>
      <c r="H24" s="36">
        <f t="shared" si="3"/>
        <v>2425.5</v>
      </c>
      <c r="I24" s="36">
        <f t="shared" si="4"/>
        <v>924</v>
      </c>
      <c r="K24" t="s">
        <v>27</v>
      </c>
      <c r="L24" s="3">
        <v>0.24</v>
      </c>
    </row>
    <row r="25" spans="1:12">
      <c r="A25" t="s">
        <v>15</v>
      </c>
      <c r="B25">
        <v>2</v>
      </c>
      <c r="C25" t="s">
        <v>29</v>
      </c>
      <c r="D25" t="s">
        <v>13</v>
      </c>
      <c r="E25" s="35">
        <f t="shared" si="0"/>
        <v>56</v>
      </c>
      <c r="F25" s="36">
        <f t="shared" si="1"/>
        <v>8400</v>
      </c>
      <c r="G25" s="36">
        <f t="shared" si="2"/>
        <v>3276</v>
      </c>
      <c r="H25" s="36">
        <f t="shared" si="3"/>
        <v>1764</v>
      </c>
      <c r="I25" s="36">
        <f t="shared" si="4"/>
        <v>672</v>
      </c>
      <c r="K25" t="s">
        <v>28</v>
      </c>
      <c r="L25" s="3">
        <v>0.22</v>
      </c>
    </row>
    <row r="26" spans="1:12">
      <c r="A26" t="s">
        <v>16</v>
      </c>
      <c r="B26">
        <v>3</v>
      </c>
      <c r="C26" t="s">
        <v>26</v>
      </c>
      <c r="D26" t="s">
        <v>11</v>
      </c>
      <c r="E26" s="35">
        <f t="shared" si="0"/>
        <v>1976</v>
      </c>
      <c r="F26" s="36">
        <f t="shared" si="1"/>
        <v>88920</v>
      </c>
      <c r="G26" s="36">
        <f t="shared" si="2"/>
        <v>35963.200000000004</v>
      </c>
      <c r="H26" s="36">
        <f t="shared" si="3"/>
        <v>19364.8</v>
      </c>
      <c r="I26" s="36">
        <f t="shared" si="4"/>
        <v>7113.6</v>
      </c>
      <c r="K26" t="s">
        <v>29</v>
      </c>
      <c r="L26" s="3">
        <v>0.16</v>
      </c>
    </row>
    <row r="27" spans="1:12">
      <c r="A27" t="s">
        <v>16</v>
      </c>
      <c r="B27">
        <v>3</v>
      </c>
      <c r="C27" t="s">
        <v>27</v>
      </c>
      <c r="D27" t="s">
        <v>11</v>
      </c>
      <c r="E27" s="35">
        <f t="shared" si="0"/>
        <v>1248</v>
      </c>
      <c r="F27" s="36">
        <f t="shared" si="1"/>
        <v>56160</v>
      </c>
      <c r="G27" s="36">
        <f t="shared" si="2"/>
        <v>22713.600000000002</v>
      </c>
      <c r="H27" s="36">
        <f t="shared" si="3"/>
        <v>12230.4</v>
      </c>
      <c r="I27" s="36">
        <f t="shared" si="4"/>
        <v>4492.8</v>
      </c>
    </row>
    <row r="28" spans="1:12">
      <c r="A28" t="s">
        <v>16</v>
      </c>
      <c r="B28">
        <v>3</v>
      </c>
      <c r="C28" t="s">
        <v>28</v>
      </c>
      <c r="D28" t="s">
        <v>11</v>
      </c>
      <c r="E28" s="35">
        <f t="shared" si="0"/>
        <v>1144</v>
      </c>
      <c r="F28" s="36">
        <f t="shared" si="1"/>
        <v>51480</v>
      </c>
      <c r="G28" s="36">
        <f t="shared" si="2"/>
        <v>20820.8</v>
      </c>
      <c r="H28" s="36">
        <f t="shared" si="3"/>
        <v>11211.199999999999</v>
      </c>
      <c r="I28" s="36">
        <f t="shared" si="4"/>
        <v>4118.3999999999996</v>
      </c>
    </row>
    <row r="29" spans="1:12">
      <c r="A29" t="s">
        <v>16</v>
      </c>
      <c r="B29">
        <v>3</v>
      </c>
      <c r="C29" t="s">
        <v>29</v>
      </c>
      <c r="D29" t="s">
        <v>11</v>
      </c>
      <c r="E29" s="35">
        <f t="shared" si="0"/>
        <v>832</v>
      </c>
      <c r="F29" s="36">
        <f t="shared" si="1"/>
        <v>37440</v>
      </c>
      <c r="G29" s="36">
        <f t="shared" si="2"/>
        <v>15142.4</v>
      </c>
      <c r="H29" s="36">
        <f t="shared" si="3"/>
        <v>8153.5999999999995</v>
      </c>
      <c r="I29" s="36">
        <f t="shared" si="4"/>
        <v>2995.2000000000003</v>
      </c>
    </row>
    <row r="30" spans="1:12">
      <c r="A30" t="s">
        <v>16</v>
      </c>
      <c r="B30">
        <v>3</v>
      </c>
      <c r="C30" t="s">
        <v>26</v>
      </c>
      <c r="D30" t="s">
        <v>12</v>
      </c>
      <c r="E30" s="35">
        <f t="shared" si="0"/>
        <v>236</v>
      </c>
      <c r="F30" s="36">
        <f t="shared" si="1"/>
        <v>75520</v>
      </c>
      <c r="G30" s="36">
        <f t="shared" si="2"/>
        <v>32214</v>
      </c>
      <c r="H30" s="36">
        <f t="shared" si="3"/>
        <v>17346</v>
      </c>
      <c r="I30" s="36">
        <f t="shared" si="4"/>
        <v>6041.6</v>
      </c>
    </row>
    <row r="31" spans="1:12">
      <c r="A31" t="s">
        <v>16</v>
      </c>
      <c r="B31">
        <v>3</v>
      </c>
      <c r="C31" t="s">
        <v>27</v>
      </c>
      <c r="D31" t="s">
        <v>12</v>
      </c>
      <c r="E31" s="35">
        <f t="shared" si="0"/>
        <v>149</v>
      </c>
      <c r="F31" s="36">
        <f t="shared" si="1"/>
        <v>47680</v>
      </c>
      <c r="G31" s="36">
        <f t="shared" si="2"/>
        <v>20338.5</v>
      </c>
      <c r="H31" s="36">
        <f t="shared" si="3"/>
        <v>10951.5</v>
      </c>
      <c r="I31" s="36">
        <f t="shared" si="4"/>
        <v>3814.4</v>
      </c>
    </row>
    <row r="32" spans="1:12">
      <c r="A32" t="s">
        <v>16</v>
      </c>
      <c r="B32">
        <v>3</v>
      </c>
      <c r="C32" t="s">
        <v>28</v>
      </c>
      <c r="D32" t="s">
        <v>12</v>
      </c>
      <c r="E32" s="35">
        <f t="shared" si="0"/>
        <v>136</v>
      </c>
      <c r="F32" s="36">
        <f t="shared" si="1"/>
        <v>43520</v>
      </c>
      <c r="G32" s="36">
        <f t="shared" si="2"/>
        <v>18564</v>
      </c>
      <c r="H32" s="36">
        <f t="shared" si="3"/>
        <v>9996</v>
      </c>
      <c r="I32" s="36">
        <f t="shared" si="4"/>
        <v>3481.6</v>
      </c>
    </row>
    <row r="33" spans="1:9">
      <c r="A33" t="s">
        <v>16</v>
      </c>
      <c r="B33">
        <v>3</v>
      </c>
      <c r="C33" t="s">
        <v>29</v>
      </c>
      <c r="D33" t="s">
        <v>12</v>
      </c>
      <c r="E33" s="35">
        <f t="shared" si="0"/>
        <v>99</v>
      </c>
      <c r="F33" s="36">
        <f t="shared" si="1"/>
        <v>31680</v>
      </c>
      <c r="G33" s="36">
        <f t="shared" si="2"/>
        <v>13513.5</v>
      </c>
      <c r="H33" s="36">
        <f t="shared" si="3"/>
        <v>7276.4999999999991</v>
      </c>
      <c r="I33" s="36">
        <f t="shared" si="4"/>
        <v>2534.4</v>
      </c>
    </row>
    <row r="34" spans="1:9">
      <c r="A34" t="s">
        <v>16</v>
      </c>
      <c r="B34">
        <v>3</v>
      </c>
      <c r="C34" t="s">
        <v>26</v>
      </c>
      <c r="D34" t="s">
        <v>13</v>
      </c>
      <c r="E34" s="35">
        <f t="shared" si="0"/>
        <v>144</v>
      </c>
      <c r="F34" s="36">
        <f t="shared" si="1"/>
        <v>21600</v>
      </c>
      <c r="G34" s="36">
        <f t="shared" si="2"/>
        <v>8424</v>
      </c>
      <c r="H34" s="36">
        <f t="shared" si="3"/>
        <v>4536</v>
      </c>
      <c r="I34" s="36">
        <f t="shared" si="4"/>
        <v>1728</v>
      </c>
    </row>
    <row r="35" spans="1:9">
      <c r="A35" t="s">
        <v>16</v>
      </c>
      <c r="B35">
        <v>3</v>
      </c>
      <c r="C35" t="s">
        <v>27</v>
      </c>
      <c r="D35" t="s">
        <v>13</v>
      </c>
      <c r="E35" s="35">
        <f t="shared" si="0"/>
        <v>91</v>
      </c>
      <c r="F35" s="36">
        <f t="shared" si="1"/>
        <v>13650</v>
      </c>
      <c r="G35" s="36">
        <f t="shared" si="2"/>
        <v>5323.5</v>
      </c>
      <c r="H35" s="36">
        <f t="shared" si="3"/>
        <v>2866.5</v>
      </c>
      <c r="I35" s="36">
        <f t="shared" si="4"/>
        <v>1092</v>
      </c>
    </row>
    <row r="36" spans="1:9">
      <c r="A36" t="s">
        <v>16</v>
      </c>
      <c r="B36">
        <v>3</v>
      </c>
      <c r="C36" t="s">
        <v>28</v>
      </c>
      <c r="D36" t="s">
        <v>13</v>
      </c>
      <c r="E36" s="35">
        <f t="shared" si="0"/>
        <v>84</v>
      </c>
      <c r="F36" s="36">
        <f t="shared" si="1"/>
        <v>12600</v>
      </c>
      <c r="G36" s="36">
        <f t="shared" si="2"/>
        <v>4914</v>
      </c>
      <c r="H36" s="36">
        <f t="shared" si="3"/>
        <v>2646</v>
      </c>
      <c r="I36" s="36">
        <f t="shared" si="4"/>
        <v>1008</v>
      </c>
    </row>
    <row r="37" spans="1:9">
      <c r="A37" t="s">
        <v>16</v>
      </c>
      <c r="B37">
        <v>3</v>
      </c>
      <c r="C37" t="s">
        <v>29</v>
      </c>
      <c r="D37" t="s">
        <v>13</v>
      </c>
      <c r="E37" s="35">
        <f t="shared" si="0"/>
        <v>61</v>
      </c>
      <c r="F37" s="36">
        <f t="shared" si="1"/>
        <v>9150</v>
      </c>
      <c r="G37" s="36">
        <f t="shared" si="2"/>
        <v>3568.5</v>
      </c>
      <c r="H37" s="36">
        <f t="shared" si="3"/>
        <v>1921.4999999999998</v>
      </c>
      <c r="I37" s="36">
        <f t="shared" si="4"/>
        <v>732</v>
      </c>
    </row>
    <row r="38" spans="1:9">
      <c r="A38" t="s">
        <v>17</v>
      </c>
      <c r="B38">
        <v>4</v>
      </c>
      <c r="C38" t="s">
        <v>26</v>
      </c>
      <c r="D38" t="s">
        <v>11</v>
      </c>
      <c r="E38" s="35">
        <f t="shared" si="0"/>
        <v>2016</v>
      </c>
      <c r="F38" s="36">
        <f t="shared" si="1"/>
        <v>90720</v>
      </c>
      <c r="G38" s="36">
        <f t="shared" si="2"/>
        <v>36691.200000000004</v>
      </c>
      <c r="H38" s="36">
        <f t="shared" si="3"/>
        <v>19756.8</v>
      </c>
      <c r="I38" s="36">
        <f t="shared" si="4"/>
        <v>7257.6</v>
      </c>
    </row>
    <row r="39" spans="1:9">
      <c r="A39" t="s">
        <v>17</v>
      </c>
      <c r="B39">
        <v>4</v>
      </c>
      <c r="C39" t="s">
        <v>27</v>
      </c>
      <c r="D39" t="s">
        <v>11</v>
      </c>
      <c r="E39" s="35">
        <f t="shared" si="0"/>
        <v>1273</v>
      </c>
      <c r="F39" s="36">
        <f t="shared" si="1"/>
        <v>57285</v>
      </c>
      <c r="G39" s="36">
        <f t="shared" si="2"/>
        <v>23168.600000000002</v>
      </c>
      <c r="H39" s="36">
        <f t="shared" si="3"/>
        <v>12475.4</v>
      </c>
      <c r="I39" s="36">
        <f t="shared" si="4"/>
        <v>4582.8</v>
      </c>
    </row>
    <row r="40" spans="1:9">
      <c r="A40" t="s">
        <v>17</v>
      </c>
      <c r="B40">
        <v>4</v>
      </c>
      <c r="C40" t="s">
        <v>28</v>
      </c>
      <c r="D40" t="s">
        <v>11</v>
      </c>
      <c r="E40" s="35">
        <f t="shared" si="0"/>
        <v>1167</v>
      </c>
      <c r="F40" s="36">
        <f t="shared" si="1"/>
        <v>52515</v>
      </c>
      <c r="G40" s="36">
        <f t="shared" si="2"/>
        <v>21239.4</v>
      </c>
      <c r="H40" s="36">
        <f t="shared" si="3"/>
        <v>11436.599999999999</v>
      </c>
      <c r="I40" s="36">
        <f t="shared" si="4"/>
        <v>4201.2</v>
      </c>
    </row>
    <row r="41" spans="1:9">
      <c r="A41" t="s">
        <v>17</v>
      </c>
      <c r="B41">
        <v>4</v>
      </c>
      <c r="C41" t="s">
        <v>29</v>
      </c>
      <c r="D41" t="s">
        <v>11</v>
      </c>
      <c r="E41" s="35">
        <f t="shared" si="0"/>
        <v>849</v>
      </c>
      <c r="F41" s="36">
        <f t="shared" si="1"/>
        <v>38205</v>
      </c>
      <c r="G41" s="36">
        <f t="shared" si="2"/>
        <v>15451.800000000001</v>
      </c>
      <c r="H41" s="36">
        <f t="shared" si="3"/>
        <v>8320.1999999999989</v>
      </c>
      <c r="I41" s="36">
        <f t="shared" si="4"/>
        <v>3056.4</v>
      </c>
    </row>
    <row r="42" spans="1:9">
      <c r="A42" t="s">
        <v>17</v>
      </c>
      <c r="B42">
        <v>4</v>
      </c>
      <c r="C42" t="s">
        <v>26</v>
      </c>
      <c r="D42" t="s">
        <v>12</v>
      </c>
      <c r="E42" s="35">
        <f t="shared" si="0"/>
        <v>240</v>
      </c>
      <c r="F42" s="36">
        <f t="shared" si="1"/>
        <v>76800</v>
      </c>
      <c r="G42" s="36">
        <f t="shared" si="2"/>
        <v>32760</v>
      </c>
      <c r="H42" s="36">
        <f t="shared" si="3"/>
        <v>17640</v>
      </c>
      <c r="I42" s="36">
        <f t="shared" si="4"/>
        <v>6144</v>
      </c>
    </row>
    <row r="43" spans="1:9">
      <c r="A43" t="s">
        <v>17</v>
      </c>
      <c r="B43">
        <v>4</v>
      </c>
      <c r="C43" t="s">
        <v>27</v>
      </c>
      <c r="D43" t="s">
        <v>12</v>
      </c>
      <c r="E43" s="35">
        <f t="shared" si="0"/>
        <v>152</v>
      </c>
      <c r="F43" s="36">
        <f t="shared" si="1"/>
        <v>48640</v>
      </c>
      <c r="G43" s="36">
        <f t="shared" si="2"/>
        <v>20748</v>
      </c>
      <c r="H43" s="36">
        <f t="shared" si="3"/>
        <v>11172</v>
      </c>
      <c r="I43" s="36">
        <f t="shared" si="4"/>
        <v>3891.2000000000003</v>
      </c>
    </row>
    <row r="44" spans="1:9">
      <c r="A44" t="s">
        <v>17</v>
      </c>
      <c r="B44">
        <v>4</v>
      </c>
      <c r="C44" t="s">
        <v>28</v>
      </c>
      <c r="D44" t="s">
        <v>12</v>
      </c>
      <c r="E44" s="35">
        <f t="shared" si="0"/>
        <v>139</v>
      </c>
      <c r="F44" s="36">
        <f t="shared" si="1"/>
        <v>44480</v>
      </c>
      <c r="G44" s="36">
        <f t="shared" si="2"/>
        <v>18973.5</v>
      </c>
      <c r="H44" s="36">
        <f t="shared" si="3"/>
        <v>10216.5</v>
      </c>
      <c r="I44" s="36">
        <f t="shared" si="4"/>
        <v>3558.4</v>
      </c>
    </row>
    <row r="45" spans="1:9">
      <c r="A45" t="s">
        <v>17</v>
      </c>
      <c r="B45">
        <v>4</v>
      </c>
      <c r="C45" t="s">
        <v>29</v>
      </c>
      <c r="D45" t="s">
        <v>12</v>
      </c>
      <c r="E45" s="35">
        <f t="shared" si="0"/>
        <v>101</v>
      </c>
      <c r="F45" s="36">
        <f t="shared" si="1"/>
        <v>32320</v>
      </c>
      <c r="G45" s="36">
        <f t="shared" si="2"/>
        <v>13786.5</v>
      </c>
      <c r="H45" s="36">
        <f t="shared" si="3"/>
        <v>7423.4999999999991</v>
      </c>
      <c r="I45" s="36">
        <f t="shared" si="4"/>
        <v>2585.6</v>
      </c>
    </row>
    <row r="46" spans="1:9">
      <c r="A46" t="s">
        <v>17</v>
      </c>
      <c r="B46">
        <v>4</v>
      </c>
      <c r="C46" t="s">
        <v>26</v>
      </c>
      <c r="D46" t="s">
        <v>13</v>
      </c>
      <c r="E46" s="35">
        <f t="shared" si="0"/>
        <v>147</v>
      </c>
      <c r="F46" s="36">
        <f t="shared" si="1"/>
        <v>22050</v>
      </c>
      <c r="G46" s="36">
        <f t="shared" si="2"/>
        <v>8599.5</v>
      </c>
      <c r="H46" s="36">
        <f t="shared" si="3"/>
        <v>4630.5</v>
      </c>
      <c r="I46" s="36">
        <f t="shared" si="4"/>
        <v>1764</v>
      </c>
    </row>
    <row r="47" spans="1:9">
      <c r="A47" t="s">
        <v>17</v>
      </c>
      <c r="B47">
        <v>4</v>
      </c>
      <c r="C47" t="s">
        <v>27</v>
      </c>
      <c r="D47" t="s">
        <v>13</v>
      </c>
      <c r="E47" s="35">
        <f t="shared" si="0"/>
        <v>93</v>
      </c>
      <c r="F47" s="36">
        <f t="shared" si="1"/>
        <v>13950</v>
      </c>
      <c r="G47" s="36">
        <f t="shared" si="2"/>
        <v>5440.5</v>
      </c>
      <c r="H47" s="36">
        <f t="shared" si="3"/>
        <v>2929.5</v>
      </c>
      <c r="I47" s="36">
        <f t="shared" si="4"/>
        <v>1116</v>
      </c>
    </row>
    <row r="48" spans="1:9">
      <c r="A48" t="s">
        <v>17</v>
      </c>
      <c r="B48">
        <v>4</v>
      </c>
      <c r="C48" t="s">
        <v>28</v>
      </c>
      <c r="D48" t="s">
        <v>13</v>
      </c>
      <c r="E48" s="35">
        <f t="shared" si="0"/>
        <v>85</v>
      </c>
      <c r="F48" s="36">
        <f t="shared" si="1"/>
        <v>12750</v>
      </c>
      <c r="G48" s="36">
        <f t="shared" si="2"/>
        <v>4972.5</v>
      </c>
      <c r="H48" s="36">
        <f t="shared" si="3"/>
        <v>2677.5</v>
      </c>
      <c r="I48" s="36">
        <f t="shared" si="4"/>
        <v>1020</v>
      </c>
    </row>
    <row r="49" spans="1:9">
      <c r="A49" t="s">
        <v>17</v>
      </c>
      <c r="B49">
        <v>4</v>
      </c>
      <c r="C49" t="s">
        <v>29</v>
      </c>
      <c r="D49" t="s">
        <v>13</v>
      </c>
      <c r="E49" s="35">
        <f t="shared" si="0"/>
        <v>62</v>
      </c>
      <c r="F49" s="36">
        <f t="shared" si="1"/>
        <v>9300</v>
      </c>
      <c r="G49" s="36">
        <f t="shared" si="2"/>
        <v>3627</v>
      </c>
      <c r="H49" s="36">
        <f t="shared" si="3"/>
        <v>1952.9999999999998</v>
      </c>
      <c r="I49" s="36">
        <f t="shared" si="4"/>
        <v>744</v>
      </c>
    </row>
    <row r="50" spans="1:9">
      <c r="A50" t="s">
        <v>18</v>
      </c>
      <c r="B50">
        <v>5</v>
      </c>
      <c r="C50" t="s">
        <v>26</v>
      </c>
      <c r="D50" t="s">
        <v>11</v>
      </c>
      <c r="E50" s="35">
        <f t="shared" si="0"/>
        <v>2035</v>
      </c>
      <c r="F50" s="36">
        <f t="shared" si="1"/>
        <v>91575</v>
      </c>
      <c r="G50" s="36">
        <f t="shared" si="2"/>
        <v>37037</v>
      </c>
      <c r="H50" s="36">
        <f t="shared" si="3"/>
        <v>19943</v>
      </c>
      <c r="I50" s="36">
        <f t="shared" si="4"/>
        <v>7326</v>
      </c>
    </row>
    <row r="51" spans="1:9">
      <c r="A51" t="s">
        <v>18</v>
      </c>
      <c r="B51">
        <v>5</v>
      </c>
      <c r="C51" t="s">
        <v>27</v>
      </c>
      <c r="D51" t="s">
        <v>11</v>
      </c>
      <c r="E51" s="35">
        <f t="shared" si="0"/>
        <v>1285</v>
      </c>
      <c r="F51" s="36">
        <f t="shared" si="1"/>
        <v>57825</v>
      </c>
      <c r="G51" s="36">
        <f t="shared" si="2"/>
        <v>23387</v>
      </c>
      <c r="H51" s="36">
        <f t="shared" si="3"/>
        <v>12593</v>
      </c>
      <c r="I51" s="36">
        <f t="shared" si="4"/>
        <v>4626</v>
      </c>
    </row>
    <row r="52" spans="1:9">
      <c r="A52" t="s">
        <v>18</v>
      </c>
      <c r="B52">
        <v>5</v>
      </c>
      <c r="C52" t="s">
        <v>28</v>
      </c>
      <c r="D52" t="s">
        <v>11</v>
      </c>
      <c r="E52" s="35">
        <f t="shared" si="0"/>
        <v>1178</v>
      </c>
      <c r="F52" s="36">
        <f t="shared" si="1"/>
        <v>53010</v>
      </c>
      <c r="G52" s="36">
        <f t="shared" si="2"/>
        <v>21439.600000000002</v>
      </c>
      <c r="H52" s="36">
        <f t="shared" si="3"/>
        <v>11544.4</v>
      </c>
      <c r="I52" s="36">
        <f t="shared" si="4"/>
        <v>4240.8</v>
      </c>
    </row>
    <row r="53" spans="1:9">
      <c r="A53" t="s">
        <v>18</v>
      </c>
      <c r="B53">
        <v>5</v>
      </c>
      <c r="C53" t="s">
        <v>29</v>
      </c>
      <c r="D53" t="s">
        <v>11</v>
      </c>
      <c r="E53" s="35">
        <f t="shared" si="0"/>
        <v>857</v>
      </c>
      <c r="F53" s="36">
        <f t="shared" si="1"/>
        <v>38565</v>
      </c>
      <c r="G53" s="36">
        <f t="shared" si="2"/>
        <v>15597.4</v>
      </c>
      <c r="H53" s="36">
        <f t="shared" si="3"/>
        <v>8398.6</v>
      </c>
      <c r="I53" s="36">
        <f t="shared" si="4"/>
        <v>3085.2000000000003</v>
      </c>
    </row>
    <row r="54" spans="1:9">
      <c r="A54" t="s">
        <v>18</v>
      </c>
      <c r="B54">
        <v>5</v>
      </c>
      <c r="C54" t="s">
        <v>26</v>
      </c>
      <c r="D54" t="s">
        <v>12</v>
      </c>
      <c r="E54" s="35">
        <f t="shared" si="0"/>
        <v>243</v>
      </c>
      <c r="F54" s="36">
        <f t="shared" si="1"/>
        <v>77760</v>
      </c>
      <c r="G54" s="36">
        <f t="shared" si="2"/>
        <v>33169.5</v>
      </c>
      <c r="H54" s="36">
        <f t="shared" si="3"/>
        <v>17860.5</v>
      </c>
      <c r="I54" s="36">
        <f t="shared" si="4"/>
        <v>6220.8</v>
      </c>
    </row>
    <row r="55" spans="1:9">
      <c r="A55" t="s">
        <v>18</v>
      </c>
      <c r="B55">
        <v>5</v>
      </c>
      <c r="C55" t="s">
        <v>27</v>
      </c>
      <c r="D55" t="s">
        <v>12</v>
      </c>
      <c r="E55" s="35">
        <f t="shared" si="0"/>
        <v>153</v>
      </c>
      <c r="F55" s="36">
        <f t="shared" si="1"/>
        <v>48960</v>
      </c>
      <c r="G55" s="36">
        <f t="shared" si="2"/>
        <v>20884.5</v>
      </c>
      <c r="H55" s="36">
        <f t="shared" si="3"/>
        <v>11245.5</v>
      </c>
      <c r="I55" s="36">
        <f t="shared" si="4"/>
        <v>3916.8</v>
      </c>
    </row>
    <row r="56" spans="1:9">
      <c r="A56" t="s">
        <v>18</v>
      </c>
      <c r="B56">
        <v>5</v>
      </c>
      <c r="C56" t="s">
        <v>28</v>
      </c>
      <c r="D56" t="s">
        <v>12</v>
      </c>
      <c r="E56" s="35">
        <f t="shared" si="0"/>
        <v>140</v>
      </c>
      <c r="F56" s="36">
        <f t="shared" si="1"/>
        <v>44800</v>
      </c>
      <c r="G56" s="36">
        <f t="shared" si="2"/>
        <v>19110</v>
      </c>
      <c r="H56" s="36">
        <f t="shared" si="3"/>
        <v>10290</v>
      </c>
      <c r="I56" s="36">
        <f t="shared" si="4"/>
        <v>3584</v>
      </c>
    </row>
    <row r="57" spans="1:9">
      <c r="A57" t="s">
        <v>18</v>
      </c>
      <c r="B57">
        <v>5</v>
      </c>
      <c r="C57" t="s">
        <v>29</v>
      </c>
      <c r="D57" t="s">
        <v>12</v>
      </c>
      <c r="E57" s="35">
        <f t="shared" si="0"/>
        <v>102</v>
      </c>
      <c r="F57" s="36">
        <f t="shared" si="1"/>
        <v>32640</v>
      </c>
      <c r="G57" s="36">
        <f t="shared" si="2"/>
        <v>13923</v>
      </c>
      <c r="H57" s="36">
        <f t="shared" si="3"/>
        <v>7496.9999999999991</v>
      </c>
      <c r="I57" s="36">
        <f t="shared" si="4"/>
        <v>2611.2000000000003</v>
      </c>
    </row>
    <row r="58" spans="1:9">
      <c r="A58" t="s">
        <v>18</v>
      </c>
      <c r="B58">
        <v>5</v>
      </c>
      <c r="C58" t="s">
        <v>26</v>
      </c>
      <c r="D58" t="s">
        <v>13</v>
      </c>
      <c r="E58" s="35">
        <f t="shared" si="0"/>
        <v>149</v>
      </c>
      <c r="F58" s="36">
        <f t="shared" si="1"/>
        <v>22350</v>
      </c>
      <c r="G58" s="36">
        <f t="shared" si="2"/>
        <v>8716.5</v>
      </c>
      <c r="H58" s="36">
        <f t="shared" si="3"/>
        <v>4693.5</v>
      </c>
      <c r="I58" s="36">
        <f t="shared" si="4"/>
        <v>1788</v>
      </c>
    </row>
    <row r="59" spans="1:9">
      <c r="A59" t="s">
        <v>18</v>
      </c>
      <c r="B59">
        <v>5</v>
      </c>
      <c r="C59" t="s">
        <v>27</v>
      </c>
      <c r="D59" t="s">
        <v>13</v>
      </c>
      <c r="E59" s="35">
        <f t="shared" si="0"/>
        <v>94</v>
      </c>
      <c r="F59" s="36">
        <f t="shared" si="1"/>
        <v>14100</v>
      </c>
      <c r="G59" s="36">
        <f t="shared" si="2"/>
        <v>5499</v>
      </c>
      <c r="H59" s="36">
        <f t="shared" si="3"/>
        <v>2961</v>
      </c>
      <c r="I59" s="36">
        <f t="shared" si="4"/>
        <v>1128</v>
      </c>
    </row>
    <row r="60" spans="1:9">
      <c r="A60" t="s">
        <v>18</v>
      </c>
      <c r="B60">
        <v>5</v>
      </c>
      <c r="C60" t="s">
        <v>28</v>
      </c>
      <c r="D60" t="s">
        <v>13</v>
      </c>
      <c r="E60" s="35">
        <f t="shared" si="0"/>
        <v>86</v>
      </c>
      <c r="F60" s="36">
        <f t="shared" si="1"/>
        <v>12900</v>
      </c>
      <c r="G60" s="36">
        <f t="shared" si="2"/>
        <v>5031</v>
      </c>
      <c r="H60" s="36">
        <f t="shared" si="3"/>
        <v>2709</v>
      </c>
      <c r="I60" s="36">
        <f t="shared" si="4"/>
        <v>1032</v>
      </c>
    </row>
    <row r="61" spans="1:9">
      <c r="A61" t="s">
        <v>18</v>
      </c>
      <c r="B61">
        <v>5</v>
      </c>
      <c r="C61" t="s">
        <v>29</v>
      </c>
      <c r="D61" t="s">
        <v>13</v>
      </c>
      <c r="E61" s="35">
        <f t="shared" si="0"/>
        <v>63</v>
      </c>
      <c r="F61" s="36">
        <f t="shared" si="1"/>
        <v>9450</v>
      </c>
      <c r="G61" s="36">
        <f t="shared" si="2"/>
        <v>3685.5</v>
      </c>
      <c r="H61" s="36">
        <f t="shared" si="3"/>
        <v>1984.4999999999998</v>
      </c>
      <c r="I61" s="36">
        <f t="shared" si="4"/>
        <v>756</v>
      </c>
    </row>
    <row r="62" spans="1:9">
      <c r="A62" t="s">
        <v>19</v>
      </c>
      <c r="B62">
        <v>6</v>
      </c>
      <c r="C62" t="s">
        <v>26</v>
      </c>
      <c r="D62" t="s">
        <v>11</v>
      </c>
      <c r="E62" s="35">
        <f t="shared" si="0"/>
        <v>2075</v>
      </c>
      <c r="F62" s="36">
        <f t="shared" si="1"/>
        <v>93375</v>
      </c>
      <c r="G62" s="36">
        <f t="shared" si="2"/>
        <v>37765</v>
      </c>
      <c r="H62" s="36">
        <f t="shared" si="3"/>
        <v>20335</v>
      </c>
      <c r="I62" s="36">
        <f t="shared" si="4"/>
        <v>7470</v>
      </c>
    </row>
    <row r="63" spans="1:9">
      <c r="A63" t="s">
        <v>19</v>
      </c>
      <c r="B63">
        <v>6</v>
      </c>
      <c r="C63" t="s">
        <v>27</v>
      </c>
      <c r="D63" t="s">
        <v>11</v>
      </c>
      <c r="E63" s="35">
        <f t="shared" si="0"/>
        <v>1310</v>
      </c>
      <c r="F63" s="36">
        <f t="shared" si="1"/>
        <v>58950</v>
      </c>
      <c r="G63" s="36">
        <f t="shared" si="2"/>
        <v>23842</v>
      </c>
      <c r="H63" s="36">
        <f t="shared" si="3"/>
        <v>12838</v>
      </c>
      <c r="I63" s="36">
        <f t="shared" si="4"/>
        <v>4716</v>
      </c>
    </row>
    <row r="64" spans="1:9">
      <c r="A64" t="s">
        <v>19</v>
      </c>
      <c r="B64">
        <v>6</v>
      </c>
      <c r="C64" t="s">
        <v>28</v>
      </c>
      <c r="D64" t="s">
        <v>11</v>
      </c>
      <c r="E64" s="35">
        <f t="shared" si="0"/>
        <v>1201</v>
      </c>
      <c r="F64" s="36">
        <f t="shared" si="1"/>
        <v>54045</v>
      </c>
      <c r="G64" s="36">
        <f t="shared" si="2"/>
        <v>21858.2</v>
      </c>
      <c r="H64" s="36">
        <f t="shared" si="3"/>
        <v>11769.8</v>
      </c>
      <c r="I64" s="36">
        <f t="shared" si="4"/>
        <v>4323.6000000000004</v>
      </c>
    </row>
    <row r="65" spans="1:9">
      <c r="A65" t="s">
        <v>19</v>
      </c>
      <c r="B65">
        <v>6</v>
      </c>
      <c r="C65" t="s">
        <v>29</v>
      </c>
      <c r="D65" t="s">
        <v>11</v>
      </c>
      <c r="E65" s="35">
        <f t="shared" si="0"/>
        <v>874</v>
      </c>
      <c r="F65" s="36">
        <f t="shared" si="1"/>
        <v>39330</v>
      </c>
      <c r="G65" s="36">
        <f t="shared" si="2"/>
        <v>15906.800000000001</v>
      </c>
      <c r="H65" s="36">
        <f t="shared" si="3"/>
        <v>8565.1999999999989</v>
      </c>
      <c r="I65" s="36">
        <f t="shared" si="4"/>
        <v>3146.4</v>
      </c>
    </row>
    <row r="66" spans="1:9">
      <c r="A66" t="s">
        <v>19</v>
      </c>
      <c r="B66">
        <v>6</v>
      </c>
      <c r="C66" t="s">
        <v>26</v>
      </c>
      <c r="D66" t="s">
        <v>12</v>
      </c>
      <c r="E66" s="35">
        <f t="shared" si="0"/>
        <v>247</v>
      </c>
      <c r="F66" s="36">
        <f t="shared" si="1"/>
        <v>79040</v>
      </c>
      <c r="G66" s="36">
        <f t="shared" si="2"/>
        <v>33715.5</v>
      </c>
      <c r="H66" s="36">
        <f t="shared" si="3"/>
        <v>18154.5</v>
      </c>
      <c r="I66" s="36">
        <f t="shared" si="4"/>
        <v>6323.2</v>
      </c>
    </row>
    <row r="67" spans="1:9">
      <c r="A67" t="s">
        <v>19</v>
      </c>
      <c r="B67">
        <v>6</v>
      </c>
      <c r="C67" t="s">
        <v>27</v>
      </c>
      <c r="D67" t="s">
        <v>12</v>
      </c>
      <c r="E67" s="35">
        <f t="shared" ref="E67:E130" si="5">ROUND(VLOOKUP($D67,$K$2:$N$4,2,FALSE)*VLOOKUP($A67,$K$8:$L$19,2,FALSE)*VLOOKUP($C67,$K$23:$L$26,2,FALSE),0)</f>
        <v>156</v>
      </c>
      <c r="F67" s="36">
        <f t="shared" ref="F67:F130" si="6">E67*VLOOKUP($D67,$K$2:$N$4,3,FALSE)</f>
        <v>49920</v>
      </c>
      <c r="G67" s="36">
        <f t="shared" ref="G67:G130" si="7">E67*VLOOKUP($D67,$K$2:$N$4,4,FALSE)*0.65</f>
        <v>21294</v>
      </c>
      <c r="H67" s="36">
        <f t="shared" ref="H67:H130" si="8">E67*VLOOKUP($D67,$K$2:$N$4,4,FALSE)*0.35</f>
        <v>11466</v>
      </c>
      <c r="I67" s="36">
        <f t="shared" ref="I67:I130" si="9">F67*0.08</f>
        <v>3993.6</v>
      </c>
    </row>
    <row r="68" spans="1:9">
      <c r="A68" t="s">
        <v>19</v>
      </c>
      <c r="B68">
        <v>6</v>
      </c>
      <c r="C68" t="s">
        <v>28</v>
      </c>
      <c r="D68" t="s">
        <v>12</v>
      </c>
      <c r="E68" s="35">
        <f t="shared" si="5"/>
        <v>143</v>
      </c>
      <c r="F68" s="36">
        <f t="shared" si="6"/>
        <v>45760</v>
      </c>
      <c r="G68" s="36">
        <f t="shared" si="7"/>
        <v>19519.5</v>
      </c>
      <c r="H68" s="36">
        <f t="shared" si="8"/>
        <v>10510.5</v>
      </c>
      <c r="I68" s="36">
        <f t="shared" si="9"/>
        <v>3660.8</v>
      </c>
    </row>
    <row r="69" spans="1:9">
      <c r="A69" t="s">
        <v>19</v>
      </c>
      <c r="B69">
        <v>6</v>
      </c>
      <c r="C69" t="s">
        <v>29</v>
      </c>
      <c r="D69" t="s">
        <v>12</v>
      </c>
      <c r="E69" s="35">
        <f t="shared" si="5"/>
        <v>104</v>
      </c>
      <c r="F69" s="36">
        <f t="shared" si="6"/>
        <v>33280</v>
      </c>
      <c r="G69" s="36">
        <f t="shared" si="7"/>
        <v>14196</v>
      </c>
      <c r="H69" s="36">
        <f t="shared" si="8"/>
        <v>7643.9999999999991</v>
      </c>
      <c r="I69" s="36">
        <f t="shared" si="9"/>
        <v>2662.4</v>
      </c>
    </row>
    <row r="70" spans="1:9">
      <c r="A70" t="s">
        <v>19</v>
      </c>
      <c r="B70">
        <v>6</v>
      </c>
      <c r="C70" t="s">
        <v>26</v>
      </c>
      <c r="D70" t="s">
        <v>13</v>
      </c>
      <c r="E70" s="35">
        <f t="shared" si="5"/>
        <v>152</v>
      </c>
      <c r="F70" s="36">
        <f t="shared" si="6"/>
        <v>22800</v>
      </c>
      <c r="G70" s="36">
        <f t="shared" si="7"/>
        <v>8892</v>
      </c>
      <c r="H70" s="36">
        <f t="shared" si="8"/>
        <v>4788</v>
      </c>
      <c r="I70" s="36">
        <f t="shared" si="9"/>
        <v>1824</v>
      </c>
    </row>
    <row r="71" spans="1:9">
      <c r="A71" t="s">
        <v>19</v>
      </c>
      <c r="B71">
        <v>6</v>
      </c>
      <c r="C71" t="s">
        <v>27</v>
      </c>
      <c r="D71" t="s">
        <v>13</v>
      </c>
      <c r="E71" s="35">
        <f t="shared" si="5"/>
        <v>96</v>
      </c>
      <c r="F71" s="36">
        <f t="shared" si="6"/>
        <v>14400</v>
      </c>
      <c r="G71" s="36">
        <f t="shared" si="7"/>
        <v>5616</v>
      </c>
      <c r="H71" s="36">
        <f t="shared" si="8"/>
        <v>3024</v>
      </c>
      <c r="I71" s="36">
        <f t="shared" si="9"/>
        <v>1152</v>
      </c>
    </row>
    <row r="72" spans="1:9">
      <c r="A72" t="s">
        <v>19</v>
      </c>
      <c r="B72">
        <v>6</v>
      </c>
      <c r="C72" t="s">
        <v>28</v>
      </c>
      <c r="D72" t="s">
        <v>13</v>
      </c>
      <c r="E72" s="35">
        <f t="shared" si="5"/>
        <v>88</v>
      </c>
      <c r="F72" s="36">
        <f t="shared" si="6"/>
        <v>13200</v>
      </c>
      <c r="G72" s="36">
        <f t="shared" si="7"/>
        <v>5148</v>
      </c>
      <c r="H72" s="36">
        <f t="shared" si="8"/>
        <v>2772</v>
      </c>
      <c r="I72" s="36">
        <f t="shared" si="9"/>
        <v>1056</v>
      </c>
    </row>
    <row r="73" spans="1:9">
      <c r="A73" t="s">
        <v>19</v>
      </c>
      <c r="B73">
        <v>6</v>
      </c>
      <c r="C73" t="s">
        <v>29</v>
      </c>
      <c r="D73" t="s">
        <v>13</v>
      </c>
      <c r="E73" s="35">
        <f t="shared" si="5"/>
        <v>64</v>
      </c>
      <c r="F73" s="36">
        <f t="shared" si="6"/>
        <v>9600</v>
      </c>
      <c r="G73" s="36">
        <f t="shared" si="7"/>
        <v>3744</v>
      </c>
      <c r="H73" s="36">
        <f t="shared" si="8"/>
        <v>2015.9999999999998</v>
      </c>
      <c r="I73" s="36">
        <f t="shared" si="9"/>
        <v>768</v>
      </c>
    </row>
    <row r="74" spans="1:9">
      <c r="A74" t="s">
        <v>20</v>
      </c>
      <c r="B74">
        <v>7</v>
      </c>
      <c r="C74" t="s">
        <v>26</v>
      </c>
      <c r="D74" t="s">
        <v>11</v>
      </c>
      <c r="E74" s="35">
        <f t="shared" si="5"/>
        <v>1877</v>
      </c>
      <c r="F74" s="36">
        <f t="shared" si="6"/>
        <v>84465</v>
      </c>
      <c r="G74" s="36">
        <f t="shared" si="7"/>
        <v>34161.4</v>
      </c>
      <c r="H74" s="36">
        <f t="shared" si="8"/>
        <v>18394.599999999999</v>
      </c>
      <c r="I74" s="36">
        <f t="shared" si="9"/>
        <v>6757.2</v>
      </c>
    </row>
    <row r="75" spans="1:9">
      <c r="A75" t="s">
        <v>20</v>
      </c>
      <c r="B75">
        <v>7</v>
      </c>
      <c r="C75" t="s">
        <v>27</v>
      </c>
      <c r="D75" t="s">
        <v>11</v>
      </c>
      <c r="E75" s="35">
        <f t="shared" si="5"/>
        <v>1186</v>
      </c>
      <c r="F75" s="36">
        <f t="shared" si="6"/>
        <v>53370</v>
      </c>
      <c r="G75" s="36">
        <f t="shared" si="7"/>
        <v>21585.200000000001</v>
      </c>
      <c r="H75" s="36">
        <f t="shared" si="8"/>
        <v>11622.8</v>
      </c>
      <c r="I75" s="36">
        <f t="shared" si="9"/>
        <v>4269.6000000000004</v>
      </c>
    </row>
    <row r="76" spans="1:9">
      <c r="A76" t="s">
        <v>20</v>
      </c>
      <c r="B76">
        <v>7</v>
      </c>
      <c r="C76" t="s">
        <v>28</v>
      </c>
      <c r="D76" t="s">
        <v>11</v>
      </c>
      <c r="E76" s="35">
        <f t="shared" si="5"/>
        <v>1087</v>
      </c>
      <c r="F76" s="36">
        <f t="shared" si="6"/>
        <v>48915</v>
      </c>
      <c r="G76" s="36">
        <f t="shared" si="7"/>
        <v>19783.400000000001</v>
      </c>
      <c r="H76" s="36">
        <f t="shared" si="8"/>
        <v>10652.599999999999</v>
      </c>
      <c r="I76" s="36">
        <f t="shared" si="9"/>
        <v>3913.2000000000003</v>
      </c>
    </row>
    <row r="77" spans="1:9">
      <c r="A77" t="s">
        <v>20</v>
      </c>
      <c r="B77">
        <v>7</v>
      </c>
      <c r="C77" t="s">
        <v>29</v>
      </c>
      <c r="D77" t="s">
        <v>11</v>
      </c>
      <c r="E77" s="35">
        <f t="shared" si="5"/>
        <v>790</v>
      </c>
      <c r="F77" s="36">
        <f t="shared" si="6"/>
        <v>35550</v>
      </c>
      <c r="G77" s="36">
        <f t="shared" si="7"/>
        <v>14378</v>
      </c>
      <c r="H77" s="36">
        <f t="shared" si="8"/>
        <v>7741.9999999999991</v>
      </c>
      <c r="I77" s="36">
        <f t="shared" si="9"/>
        <v>2844</v>
      </c>
    </row>
    <row r="78" spans="1:9">
      <c r="A78" t="s">
        <v>20</v>
      </c>
      <c r="B78">
        <v>7</v>
      </c>
      <c r="C78" t="s">
        <v>26</v>
      </c>
      <c r="D78" t="s">
        <v>12</v>
      </c>
      <c r="E78" s="35">
        <f t="shared" si="5"/>
        <v>224</v>
      </c>
      <c r="F78" s="36">
        <f t="shared" si="6"/>
        <v>71680</v>
      </c>
      <c r="G78" s="36">
        <f t="shared" si="7"/>
        <v>30576</v>
      </c>
      <c r="H78" s="36">
        <f t="shared" si="8"/>
        <v>16464</v>
      </c>
      <c r="I78" s="36">
        <f t="shared" si="9"/>
        <v>5734.4000000000005</v>
      </c>
    </row>
    <row r="79" spans="1:9">
      <c r="A79" t="s">
        <v>20</v>
      </c>
      <c r="B79">
        <v>7</v>
      </c>
      <c r="C79" t="s">
        <v>27</v>
      </c>
      <c r="D79" t="s">
        <v>12</v>
      </c>
      <c r="E79" s="35">
        <f t="shared" si="5"/>
        <v>141</v>
      </c>
      <c r="F79" s="36">
        <f t="shared" si="6"/>
        <v>45120</v>
      </c>
      <c r="G79" s="36">
        <f t="shared" si="7"/>
        <v>19246.5</v>
      </c>
      <c r="H79" s="36">
        <f t="shared" si="8"/>
        <v>10363.5</v>
      </c>
      <c r="I79" s="36">
        <f t="shared" si="9"/>
        <v>3609.6</v>
      </c>
    </row>
    <row r="80" spans="1:9">
      <c r="A80" t="s">
        <v>20</v>
      </c>
      <c r="B80">
        <v>7</v>
      </c>
      <c r="C80" t="s">
        <v>28</v>
      </c>
      <c r="D80" t="s">
        <v>12</v>
      </c>
      <c r="E80" s="35">
        <f t="shared" si="5"/>
        <v>130</v>
      </c>
      <c r="F80" s="36">
        <f t="shared" si="6"/>
        <v>41600</v>
      </c>
      <c r="G80" s="36">
        <f t="shared" si="7"/>
        <v>17745</v>
      </c>
      <c r="H80" s="36">
        <f t="shared" si="8"/>
        <v>9555</v>
      </c>
      <c r="I80" s="36">
        <f t="shared" si="9"/>
        <v>3328</v>
      </c>
    </row>
    <row r="81" spans="1:9">
      <c r="A81" t="s">
        <v>20</v>
      </c>
      <c r="B81">
        <v>7</v>
      </c>
      <c r="C81" t="s">
        <v>29</v>
      </c>
      <c r="D81" t="s">
        <v>12</v>
      </c>
      <c r="E81" s="35">
        <f t="shared" si="5"/>
        <v>94</v>
      </c>
      <c r="F81" s="36">
        <f t="shared" si="6"/>
        <v>30080</v>
      </c>
      <c r="G81" s="36">
        <f t="shared" si="7"/>
        <v>12831</v>
      </c>
      <c r="H81" s="36">
        <f t="shared" si="8"/>
        <v>6909</v>
      </c>
      <c r="I81" s="36">
        <f t="shared" si="9"/>
        <v>2406.4</v>
      </c>
    </row>
    <row r="82" spans="1:9">
      <c r="A82" t="s">
        <v>20</v>
      </c>
      <c r="B82">
        <v>7</v>
      </c>
      <c r="C82" t="s">
        <v>26</v>
      </c>
      <c r="D82" t="s">
        <v>13</v>
      </c>
      <c r="E82" s="35">
        <f t="shared" si="5"/>
        <v>137</v>
      </c>
      <c r="F82" s="36">
        <f t="shared" si="6"/>
        <v>20550</v>
      </c>
      <c r="G82" s="36">
        <f t="shared" si="7"/>
        <v>8014.5</v>
      </c>
      <c r="H82" s="36">
        <f t="shared" si="8"/>
        <v>4315.5</v>
      </c>
      <c r="I82" s="36">
        <f t="shared" si="9"/>
        <v>1644</v>
      </c>
    </row>
    <row r="83" spans="1:9">
      <c r="A83" t="s">
        <v>20</v>
      </c>
      <c r="B83">
        <v>7</v>
      </c>
      <c r="C83" t="s">
        <v>27</v>
      </c>
      <c r="D83" t="s">
        <v>13</v>
      </c>
      <c r="E83" s="35">
        <f t="shared" si="5"/>
        <v>87</v>
      </c>
      <c r="F83" s="36">
        <f t="shared" si="6"/>
        <v>13050</v>
      </c>
      <c r="G83" s="36">
        <f t="shared" si="7"/>
        <v>5089.5</v>
      </c>
      <c r="H83" s="36">
        <f t="shared" si="8"/>
        <v>2740.5</v>
      </c>
      <c r="I83" s="36">
        <f t="shared" si="9"/>
        <v>1044</v>
      </c>
    </row>
    <row r="84" spans="1:9">
      <c r="A84" t="s">
        <v>20</v>
      </c>
      <c r="B84">
        <v>7</v>
      </c>
      <c r="C84" t="s">
        <v>28</v>
      </c>
      <c r="D84" t="s">
        <v>13</v>
      </c>
      <c r="E84" s="35">
        <f t="shared" si="5"/>
        <v>79</v>
      </c>
      <c r="F84" s="36">
        <f t="shared" si="6"/>
        <v>11850</v>
      </c>
      <c r="G84" s="36">
        <f t="shared" si="7"/>
        <v>4621.5</v>
      </c>
      <c r="H84" s="36">
        <f t="shared" si="8"/>
        <v>2488.5</v>
      </c>
      <c r="I84" s="36">
        <f t="shared" si="9"/>
        <v>948</v>
      </c>
    </row>
    <row r="85" spans="1:9">
      <c r="A85" t="s">
        <v>20</v>
      </c>
      <c r="B85">
        <v>7</v>
      </c>
      <c r="C85" t="s">
        <v>29</v>
      </c>
      <c r="D85" t="s">
        <v>13</v>
      </c>
      <c r="E85" s="35">
        <f t="shared" si="5"/>
        <v>58</v>
      </c>
      <c r="F85" s="36">
        <f t="shared" si="6"/>
        <v>8700</v>
      </c>
      <c r="G85" s="36">
        <f t="shared" si="7"/>
        <v>3393</v>
      </c>
      <c r="H85" s="36">
        <f t="shared" si="8"/>
        <v>1826.9999999999998</v>
      </c>
      <c r="I85" s="36">
        <f t="shared" si="9"/>
        <v>696</v>
      </c>
    </row>
    <row r="86" spans="1:9">
      <c r="A86" t="s">
        <v>21</v>
      </c>
      <c r="B86">
        <v>8</v>
      </c>
      <c r="C86" t="s">
        <v>26</v>
      </c>
      <c r="D86" t="s">
        <v>11</v>
      </c>
      <c r="E86" s="35">
        <f t="shared" si="5"/>
        <v>1087</v>
      </c>
      <c r="F86" s="36">
        <f t="shared" si="6"/>
        <v>48915</v>
      </c>
      <c r="G86" s="36">
        <f t="shared" si="7"/>
        <v>19783.400000000001</v>
      </c>
      <c r="H86" s="36">
        <f t="shared" si="8"/>
        <v>10652.599999999999</v>
      </c>
      <c r="I86" s="36">
        <f t="shared" si="9"/>
        <v>3913.2000000000003</v>
      </c>
    </row>
    <row r="87" spans="1:9">
      <c r="A87" t="s">
        <v>21</v>
      </c>
      <c r="B87">
        <v>8</v>
      </c>
      <c r="C87" t="s">
        <v>27</v>
      </c>
      <c r="D87" t="s">
        <v>11</v>
      </c>
      <c r="E87" s="35">
        <f t="shared" si="5"/>
        <v>686</v>
      </c>
      <c r="F87" s="36">
        <f t="shared" si="6"/>
        <v>30870</v>
      </c>
      <c r="G87" s="36">
        <f t="shared" si="7"/>
        <v>12485.2</v>
      </c>
      <c r="H87" s="36">
        <f t="shared" si="8"/>
        <v>6722.7999999999993</v>
      </c>
      <c r="I87" s="36">
        <f t="shared" si="9"/>
        <v>2469.6</v>
      </c>
    </row>
    <row r="88" spans="1:9">
      <c r="A88" t="s">
        <v>21</v>
      </c>
      <c r="B88">
        <v>8</v>
      </c>
      <c r="C88" t="s">
        <v>28</v>
      </c>
      <c r="D88" t="s">
        <v>11</v>
      </c>
      <c r="E88" s="35">
        <f t="shared" si="5"/>
        <v>629</v>
      </c>
      <c r="F88" s="36">
        <f t="shared" si="6"/>
        <v>28305</v>
      </c>
      <c r="G88" s="36">
        <f t="shared" si="7"/>
        <v>11447.800000000001</v>
      </c>
      <c r="H88" s="36">
        <f t="shared" si="8"/>
        <v>6164.2</v>
      </c>
      <c r="I88" s="36">
        <f t="shared" si="9"/>
        <v>2264.4</v>
      </c>
    </row>
    <row r="89" spans="1:9">
      <c r="A89" t="s">
        <v>21</v>
      </c>
      <c r="B89">
        <v>8</v>
      </c>
      <c r="C89" t="s">
        <v>29</v>
      </c>
      <c r="D89" t="s">
        <v>11</v>
      </c>
      <c r="E89" s="35">
        <f t="shared" si="5"/>
        <v>458</v>
      </c>
      <c r="F89" s="36">
        <f t="shared" si="6"/>
        <v>20610</v>
      </c>
      <c r="G89" s="36">
        <f t="shared" si="7"/>
        <v>8335.6</v>
      </c>
      <c r="H89" s="36">
        <f t="shared" si="8"/>
        <v>4488.3999999999996</v>
      </c>
      <c r="I89" s="36">
        <f t="shared" si="9"/>
        <v>1648.8</v>
      </c>
    </row>
    <row r="90" spans="1:9">
      <c r="A90" t="s">
        <v>21</v>
      </c>
      <c r="B90">
        <v>8</v>
      </c>
      <c r="C90" t="s">
        <v>26</v>
      </c>
      <c r="D90" t="s">
        <v>12</v>
      </c>
      <c r="E90" s="35">
        <f t="shared" si="5"/>
        <v>130</v>
      </c>
      <c r="F90" s="36">
        <f t="shared" si="6"/>
        <v>41600</v>
      </c>
      <c r="G90" s="36">
        <f t="shared" si="7"/>
        <v>17745</v>
      </c>
      <c r="H90" s="36">
        <f t="shared" si="8"/>
        <v>9555</v>
      </c>
      <c r="I90" s="36">
        <f t="shared" si="9"/>
        <v>3328</v>
      </c>
    </row>
    <row r="91" spans="1:9">
      <c r="A91" t="s">
        <v>21</v>
      </c>
      <c r="B91">
        <v>8</v>
      </c>
      <c r="C91" t="s">
        <v>27</v>
      </c>
      <c r="D91" t="s">
        <v>12</v>
      </c>
      <c r="E91" s="35">
        <f t="shared" si="5"/>
        <v>82</v>
      </c>
      <c r="F91" s="36">
        <f t="shared" si="6"/>
        <v>26240</v>
      </c>
      <c r="G91" s="36">
        <f t="shared" si="7"/>
        <v>11193</v>
      </c>
      <c r="H91" s="36">
        <f t="shared" si="8"/>
        <v>6027</v>
      </c>
      <c r="I91" s="36">
        <f t="shared" si="9"/>
        <v>2099.1999999999998</v>
      </c>
    </row>
    <row r="92" spans="1:9">
      <c r="A92" t="s">
        <v>21</v>
      </c>
      <c r="B92">
        <v>8</v>
      </c>
      <c r="C92" t="s">
        <v>28</v>
      </c>
      <c r="D92" t="s">
        <v>12</v>
      </c>
      <c r="E92" s="35">
        <f t="shared" si="5"/>
        <v>75</v>
      </c>
      <c r="F92" s="36">
        <f t="shared" si="6"/>
        <v>24000</v>
      </c>
      <c r="G92" s="36">
        <f t="shared" si="7"/>
        <v>10237.5</v>
      </c>
      <c r="H92" s="36">
        <f t="shared" si="8"/>
        <v>5512.5</v>
      </c>
      <c r="I92" s="36">
        <f t="shared" si="9"/>
        <v>1920</v>
      </c>
    </row>
    <row r="93" spans="1:9">
      <c r="A93" t="s">
        <v>21</v>
      </c>
      <c r="B93">
        <v>8</v>
      </c>
      <c r="C93" t="s">
        <v>29</v>
      </c>
      <c r="D93" t="s">
        <v>12</v>
      </c>
      <c r="E93" s="35">
        <f t="shared" si="5"/>
        <v>55</v>
      </c>
      <c r="F93" s="36">
        <f t="shared" si="6"/>
        <v>17600</v>
      </c>
      <c r="G93" s="36">
        <f t="shared" si="7"/>
        <v>7507.5</v>
      </c>
      <c r="H93" s="36">
        <f t="shared" si="8"/>
        <v>4042.4999999999995</v>
      </c>
      <c r="I93" s="36">
        <f t="shared" si="9"/>
        <v>1408</v>
      </c>
    </row>
    <row r="94" spans="1:9">
      <c r="A94" t="s">
        <v>21</v>
      </c>
      <c r="B94">
        <v>8</v>
      </c>
      <c r="C94" t="s">
        <v>26</v>
      </c>
      <c r="D94" t="s">
        <v>13</v>
      </c>
      <c r="E94" s="35">
        <f t="shared" si="5"/>
        <v>79</v>
      </c>
      <c r="F94" s="36">
        <f t="shared" si="6"/>
        <v>11850</v>
      </c>
      <c r="G94" s="36">
        <f t="shared" si="7"/>
        <v>4621.5</v>
      </c>
      <c r="H94" s="36">
        <f t="shared" si="8"/>
        <v>2488.5</v>
      </c>
      <c r="I94" s="36">
        <f t="shared" si="9"/>
        <v>948</v>
      </c>
    </row>
    <row r="95" spans="1:9">
      <c r="A95" t="s">
        <v>21</v>
      </c>
      <c r="B95">
        <v>8</v>
      </c>
      <c r="C95" t="s">
        <v>27</v>
      </c>
      <c r="D95" t="s">
        <v>13</v>
      </c>
      <c r="E95" s="35">
        <f t="shared" si="5"/>
        <v>50</v>
      </c>
      <c r="F95" s="36">
        <f t="shared" si="6"/>
        <v>7500</v>
      </c>
      <c r="G95" s="36">
        <f t="shared" si="7"/>
        <v>2925</v>
      </c>
      <c r="H95" s="36">
        <f t="shared" si="8"/>
        <v>1575</v>
      </c>
      <c r="I95" s="36">
        <f t="shared" si="9"/>
        <v>600</v>
      </c>
    </row>
    <row r="96" spans="1:9">
      <c r="A96" t="s">
        <v>21</v>
      </c>
      <c r="B96">
        <v>8</v>
      </c>
      <c r="C96" t="s">
        <v>28</v>
      </c>
      <c r="D96" t="s">
        <v>13</v>
      </c>
      <c r="E96" s="35">
        <f t="shared" si="5"/>
        <v>46</v>
      </c>
      <c r="F96" s="36">
        <f t="shared" si="6"/>
        <v>6900</v>
      </c>
      <c r="G96" s="36">
        <f t="shared" si="7"/>
        <v>2691</v>
      </c>
      <c r="H96" s="36">
        <f t="shared" si="8"/>
        <v>1449</v>
      </c>
      <c r="I96" s="36">
        <f t="shared" si="9"/>
        <v>552</v>
      </c>
    </row>
    <row r="97" spans="1:9">
      <c r="A97" t="s">
        <v>21</v>
      </c>
      <c r="B97">
        <v>8</v>
      </c>
      <c r="C97" t="s">
        <v>29</v>
      </c>
      <c r="D97" t="s">
        <v>13</v>
      </c>
      <c r="E97" s="35">
        <f t="shared" si="5"/>
        <v>33</v>
      </c>
      <c r="F97" s="36">
        <f t="shared" si="6"/>
        <v>4950</v>
      </c>
      <c r="G97" s="36">
        <f t="shared" si="7"/>
        <v>1930.5</v>
      </c>
      <c r="H97" s="36">
        <f t="shared" si="8"/>
        <v>1039.5</v>
      </c>
      <c r="I97" s="36">
        <f t="shared" si="9"/>
        <v>396</v>
      </c>
    </row>
    <row r="98" spans="1:9">
      <c r="A98" t="s">
        <v>22</v>
      </c>
      <c r="B98">
        <v>9</v>
      </c>
      <c r="C98" t="s">
        <v>26</v>
      </c>
      <c r="D98" t="s">
        <v>11</v>
      </c>
      <c r="E98" s="35">
        <f t="shared" si="5"/>
        <v>1976</v>
      </c>
      <c r="F98" s="36">
        <f t="shared" si="6"/>
        <v>88920</v>
      </c>
      <c r="G98" s="36">
        <f t="shared" si="7"/>
        <v>35963.200000000004</v>
      </c>
      <c r="H98" s="36">
        <f t="shared" si="8"/>
        <v>19364.8</v>
      </c>
      <c r="I98" s="36">
        <f t="shared" si="9"/>
        <v>7113.6</v>
      </c>
    </row>
    <row r="99" spans="1:9">
      <c r="A99" t="s">
        <v>22</v>
      </c>
      <c r="B99">
        <v>9</v>
      </c>
      <c r="C99" t="s">
        <v>27</v>
      </c>
      <c r="D99" t="s">
        <v>11</v>
      </c>
      <c r="E99" s="35">
        <f t="shared" si="5"/>
        <v>1248</v>
      </c>
      <c r="F99" s="36">
        <f t="shared" si="6"/>
        <v>56160</v>
      </c>
      <c r="G99" s="36">
        <f t="shared" si="7"/>
        <v>22713.600000000002</v>
      </c>
      <c r="H99" s="36">
        <f t="shared" si="8"/>
        <v>12230.4</v>
      </c>
      <c r="I99" s="36">
        <f t="shared" si="9"/>
        <v>4492.8</v>
      </c>
    </row>
    <row r="100" spans="1:9">
      <c r="A100" t="s">
        <v>22</v>
      </c>
      <c r="B100">
        <v>9</v>
      </c>
      <c r="C100" t="s">
        <v>28</v>
      </c>
      <c r="D100" t="s">
        <v>11</v>
      </c>
      <c r="E100" s="35">
        <f t="shared" si="5"/>
        <v>1144</v>
      </c>
      <c r="F100" s="36">
        <f t="shared" si="6"/>
        <v>51480</v>
      </c>
      <c r="G100" s="36">
        <f t="shared" si="7"/>
        <v>20820.8</v>
      </c>
      <c r="H100" s="36">
        <f t="shared" si="8"/>
        <v>11211.199999999999</v>
      </c>
      <c r="I100" s="36">
        <f t="shared" si="9"/>
        <v>4118.3999999999996</v>
      </c>
    </row>
    <row r="101" spans="1:9">
      <c r="A101" t="s">
        <v>22</v>
      </c>
      <c r="B101">
        <v>9</v>
      </c>
      <c r="C101" t="s">
        <v>29</v>
      </c>
      <c r="D101" t="s">
        <v>11</v>
      </c>
      <c r="E101" s="35">
        <f t="shared" si="5"/>
        <v>832</v>
      </c>
      <c r="F101" s="36">
        <f t="shared" si="6"/>
        <v>37440</v>
      </c>
      <c r="G101" s="36">
        <f t="shared" si="7"/>
        <v>15142.4</v>
      </c>
      <c r="H101" s="36">
        <f t="shared" si="8"/>
        <v>8153.5999999999995</v>
      </c>
      <c r="I101" s="36">
        <f t="shared" si="9"/>
        <v>2995.2000000000003</v>
      </c>
    </row>
    <row r="102" spans="1:9">
      <c r="A102" t="s">
        <v>22</v>
      </c>
      <c r="B102">
        <v>9</v>
      </c>
      <c r="C102" t="s">
        <v>26</v>
      </c>
      <c r="D102" t="s">
        <v>12</v>
      </c>
      <c r="E102" s="35">
        <f t="shared" si="5"/>
        <v>236</v>
      </c>
      <c r="F102" s="36">
        <f t="shared" si="6"/>
        <v>75520</v>
      </c>
      <c r="G102" s="36">
        <f t="shared" si="7"/>
        <v>32214</v>
      </c>
      <c r="H102" s="36">
        <f t="shared" si="8"/>
        <v>17346</v>
      </c>
      <c r="I102" s="36">
        <f t="shared" si="9"/>
        <v>6041.6</v>
      </c>
    </row>
    <row r="103" spans="1:9">
      <c r="A103" t="s">
        <v>22</v>
      </c>
      <c r="B103">
        <v>9</v>
      </c>
      <c r="C103" t="s">
        <v>27</v>
      </c>
      <c r="D103" t="s">
        <v>12</v>
      </c>
      <c r="E103" s="35">
        <f t="shared" si="5"/>
        <v>149</v>
      </c>
      <c r="F103" s="36">
        <f t="shared" si="6"/>
        <v>47680</v>
      </c>
      <c r="G103" s="36">
        <f t="shared" si="7"/>
        <v>20338.5</v>
      </c>
      <c r="H103" s="36">
        <f t="shared" si="8"/>
        <v>10951.5</v>
      </c>
      <c r="I103" s="36">
        <f t="shared" si="9"/>
        <v>3814.4</v>
      </c>
    </row>
    <row r="104" spans="1:9">
      <c r="A104" t="s">
        <v>22</v>
      </c>
      <c r="B104">
        <v>9</v>
      </c>
      <c r="C104" t="s">
        <v>28</v>
      </c>
      <c r="D104" t="s">
        <v>12</v>
      </c>
      <c r="E104" s="35">
        <f t="shared" si="5"/>
        <v>136</v>
      </c>
      <c r="F104" s="36">
        <f t="shared" si="6"/>
        <v>43520</v>
      </c>
      <c r="G104" s="36">
        <f t="shared" si="7"/>
        <v>18564</v>
      </c>
      <c r="H104" s="36">
        <f t="shared" si="8"/>
        <v>9996</v>
      </c>
      <c r="I104" s="36">
        <f t="shared" si="9"/>
        <v>3481.6</v>
      </c>
    </row>
    <row r="105" spans="1:9">
      <c r="A105" t="s">
        <v>22</v>
      </c>
      <c r="B105">
        <v>9</v>
      </c>
      <c r="C105" t="s">
        <v>29</v>
      </c>
      <c r="D105" t="s">
        <v>12</v>
      </c>
      <c r="E105" s="35">
        <f t="shared" si="5"/>
        <v>99</v>
      </c>
      <c r="F105" s="36">
        <f t="shared" si="6"/>
        <v>31680</v>
      </c>
      <c r="G105" s="36">
        <f t="shared" si="7"/>
        <v>13513.5</v>
      </c>
      <c r="H105" s="36">
        <f t="shared" si="8"/>
        <v>7276.4999999999991</v>
      </c>
      <c r="I105" s="36">
        <f t="shared" si="9"/>
        <v>2534.4</v>
      </c>
    </row>
    <row r="106" spans="1:9">
      <c r="A106" t="s">
        <v>22</v>
      </c>
      <c r="B106">
        <v>9</v>
      </c>
      <c r="C106" t="s">
        <v>26</v>
      </c>
      <c r="D106" t="s">
        <v>13</v>
      </c>
      <c r="E106" s="35">
        <f t="shared" si="5"/>
        <v>144</v>
      </c>
      <c r="F106" s="36">
        <f t="shared" si="6"/>
        <v>21600</v>
      </c>
      <c r="G106" s="36">
        <f t="shared" si="7"/>
        <v>8424</v>
      </c>
      <c r="H106" s="36">
        <f t="shared" si="8"/>
        <v>4536</v>
      </c>
      <c r="I106" s="36">
        <f t="shared" si="9"/>
        <v>1728</v>
      </c>
    </row>
    <row r="107" spans="1:9">
      <c r="A107" t="s">
        <v>22</v>
      </c>
      <c r="B107">
        <v>9</v>
      </c>
      <c r="C107" t="s">
        <v>27</v>
      </c>
      <c r="D107" t="s">
        <v>13</v>
      </c>
      <c r="E107" s="35">
        <f t="shared" si="5"/>
        <v>91</v>
      </c>
      <c r="F107" s="36">
        <f t="shared" si="6"/>
        <v>13650</v>
      </c>
      <c r="G107" s="36">
        <f t="shared" si="7"/>
        <v>5323.5</v>
      </c>
      <c r="H107" s="36">
        <f t="shared" si="8"/>
        <v>2866.5</v>
      </c>
      <c r="I107" s="36">
        <f t="shared" si="9"/>
        <v>1092</v>
      </c>
    </row>
    <row r="108" spans="1:9">
      <c r="A108" t="s">
        <v>22</v>
      </c>
      <c r="B108">
        <v>9</v>
      </c>
      <c r="C108" t="s">
        <v>28</v>
      </c>
      <c r="D108" t="s">
        <v>13</v>
      </c>
      <c r="E108" s="35">
        <f t="shared" si="5"/>
        <v>84</v>
      </c>
      <c r="F108" s="36">
        <f t="shared" si="6"/>
        <v>12600</v>
      </c>
      <c r="G108" s="36">
        <f t="shared" si="7"/>
        <v>4914</v>
      </c>
      <c r="H108" s="36">
        <f t="shared" si="8"/>
        <v>2646</v>
      </c>
      <c r="I108" s="36">
        <f t="shared" si="9"/>
        <v>1008</v>
      </c>
    </row>
    <row r="109" spans="1:9">
      <c r="A109" t="s">
        <v>22</v>
      </c>
      <c r="B109">
        <v>9</v>
      </c>
      <c r="C109" t="s">
        <v>29</v>
      </c>
      <c r="D109" t="s">
        <v>13</v>
      </c>
      <c r="E109" s="35">
        <f t="shared" si="5"/>
        <v>61</v>
      </c>
      <c r="F109" s="36">
        <f t="shared" si="6"/>
        <v>9150</v>
      </c>
      <c r="G109" s="36">
        <f t="shared" si="7"/>
        <v>3568.5</v>
      </c>
      <c r="H109" s="36">
        <f t="shared" si="8"/>
        <v>1921.4999999999998</v>
      </c>
      <c r="I109" s="36">
        <f t="shared" si="9"/>
        <v>732</v>
      </c>
    </row>
    <row r="110" spans="1:9">
      <c r="A110" t="s">
        <v>23</v>
      </c>
      <c r="B110">
        <v>10</v>
      </c>
      <c r="C110" t="s">
        <v>26</v>
      </c>
      <c r="D110" t="s">
        <v>11</v>
      </c>
      <c r="E110" s="35">
        <f t="shared" si="5"/>
        <v>2134</v>
      </c>
      <c r="F110" s="36">
        <f t="shared" si="6"/>
        <v>96030</v>
      </c>
      <c r="G110" s="36">
        <f t="shared" si="7"/>
        <v>38838.800000000003</v>
      </c>
      <c r="H110" s="36">
        <f t="shared" si="8"/>
        <v>20913.199999999997</v>
      </c>
      <c r="I110" s="36">
        <f t="shared" si="9"/>
        <v>7682.4000000000005</v>
      </c>
    </row>
    <row r="111" spans="1:9">
      <c r="A111" t="s">
        <v>23</v>
      </c>
      <c r="B111">
        <v>10</v>
      </c>
      <c r="C111" t="s">
        <v>27</v>
      </c>
      <c r="D111" t="s">
        <v>11</v>
      </c>
      <c r="E111" s="35">
        <f t="shared" si="5"/>
        <v>1348</v>
      </c>
      <c r="F111" s="36">
        <f t="shared" si="6"/>
        <v>60660</v>
      </c>
      <c r="G111" s="36">
        <f t="shared" si="7"/>
        <v>24533.600000000002</v>
      </c>
      <c r="H111" s="36">
        <f t="shared" si="8"/>
        <v>13210.4</v>
      </c>
      <c r="I111" s="36">
        <f t="shared" si="9"/>
        <v>4852.8</v>
      </c>
    </row>
    <row r="112" spans="1:9">
      <c r="A112" t="s">
        <v>23</v>
      </c>
      <c r="B112">
        <v>10</v>
      </c>
      <c r="C112" t="s">
        <v>28</v>
      </c>
      <c r="D112" t="s">
        <v>11</v>
      </c>
      <c r="E112" s="35">
        <f t="shared" si="5"/>
        <v>1236</v>
      </c>
      <c r="F112" s="36">
        <f t="shared" si="6"/>
        <v>55620</v>
      </c>
      <c r="G112" s="36">
        <f t="shared" si="7"/>
        <v>22495.200000000001</v>
      </c>
      <c r="H112" s="36">
        <f t="shared" si="8"/>
        <v>12112.8</v>
      </c>
      <c r="I112" s="36">
        <f t="shared" si="9"/>
        <v>4449.6000000000004</v>
      </c>
    </row>
    <row r="113" spans="1:9">
      <c r="A113" t="s">
        <v>23</v>
      </c>
      <c r="B113">
        <v>10</v>
      </c>
      <c r="C113" t="s">
        <v>29</v>
      </c>
      <c r="D113" t="s">
        <v>11</v>
      </c>
      <c r="E113" s="35">
        <f t="shared" si="5"/>
        <v>899</v>
      </c>
      <c r="F113" s="36">
        <f t="shared" si="6"/>
        <v>40455</v>
      </c>
      <c r="G113" s="36">
        <f t="shared" si="7"/>
        <v>16361.800000000001</v>
      </c>
      <c r="H113" s="36">
        <f t="shared" si="8"/>
        <v>8810.1999999999989</v>
      </c>
      <c r="I113" s="36">
        <f t="shared" si="9"/>
        <v>3236.4</v>
      </c>
    </row>
    <row r="114" spans="1:9">
      <c r="A114" t="s">
        <v>23</v>
      </c>
      <c r="B114">
        <v>10</v>
      </c>
      <c r="C114" t="s">
        <v>26</v>
      </c>
      <c r="D114" t="s">
        <v>12</v>
      </c>
      <c r="E114" s="35">
        <f t="shared" si="5"/>
        <v>254</v>
      </c>
      <c r="F114" s="36">
        <f t="shared" si="6"/>
        <v>81280</v>
      </c>
      <c r="G114" s="36">
        <f t="shared" si="7"/>
        <v>34671</v>
      </c>
      <c r="H114" s="36">
        <f t="shared" si="8"/>
        <v>18669</v>
      </c>
      <c r="I114" s="36">
        <f t="shared" si="9"/>
        <v>6502.4000000000005</v>
      </c>
    </row>
    <row r="115" spans="1:9">
      <c r="A115" t="s">
        <v>23</v>
      </c>
      <c r="B115">
        <v>10</v>
      </c>
      <c r="C115" t="s">
        <v>27</v>
      </c>
      <c r="D115" t="s">
        <v>12</v>
      </c>
      <c r="E115" s="35">
        <f t="shared" si="5"/>
        <v>161</v>
      </c>
      <c r="F115" s="36">
        <f t="shared" si="6"/>
        <v>51520</v>
      </c>
      <c r="G115" s="36">
        <f t="shared" si="7"/>
        <v>21976.5</v>
      </c>
      <c r="H115" s="36">
        <f t="shared" si="8"/>
        <v>11833.5</v>
      </c>
      <c r="I115" s="36">
        <f t="shared" si="9"/>
        <v>4121.6000000000004</v>
      </c>
    </row>
    <row r="116" spans="1:9">
      <c r="A116" t="s">
        <v>23</v>
      </c>
      <c r="B116">
        <v>10</v>
      </c>
      <c r="C116" t="s">
        <v>28</v>
      </c>
      <c r="D116" t="s">
        <v>12</v>
      </c>
      <c r="E116" s="35">
        <f t="shared" si="5"/>
        <v>147</v>
      </c>
      <c r="F116" s="36">
        <f t="shared" si="6"/>
        <v>47040</v>
      </c>
      <c r="G116" s="36">
        <f t="shared" si="7"/>
        <v>20065.5</v>
      </c>
      <c r="H116" s="36">
        <f t="shared" si="8"/>
        <v>10804.5</v>
      </c>
      <c r="I116" s="36">
        <f t="shared" si="9"/>
        <v>3763.2000000000003</v>
      </c>
    </row>
    <row r="117" spans="1:9">
      <c r="A117" t="s">
        <v>23</v>
      </c>
      <c r="B117">
        <v>10</v>
      </c>
      <c r="C117" t="s">
        <v>29</v>
      </c>
      <c r="D117" t="s">
        <v>12</v>
      </c>
      <c r="E117" s="35">
        <f t="shared" si="5"/>
        <v>107</v>
      </c>
      <c r="F117" s="36">
        <f t="shared" si="6"/>
        <v>34240</v>
      </c>
      <c r="G117" s="36">
        <f t="shared" si="7"/>
        <v>14605.5</v>
      </c>
      <c r="H117" s="36">
        <f t="shared" si="8"/>
        <v>7864.4999999999991</v>
      </c>
      <c r="I117" s="36">
        <f t="shared" si="9"/>
        <v>2739.2000000000003</v>
      </c>
    </row>
    <row r="118" spans="1:9">
      <c r="A118" t="s">
        <v>23</v>
      </c>
      <c r="B118">
        <v>10</v>
      </c>
      <c r="C118" t="s">
        <v>26</v>
      </c>
      <c r="D118" t="s">
        <v>13</v>
      </c>
      <c r="E118" s="35">
        <f t="shared" si="5"/>
        <v>156</v>
      </c>
      <c r="F118" s="36">
        <f t="shared" si="6"/>
        <v>23400</v>
      </c>
      <c r="G118" s="36">
        <f t="shared" si="7"/>
        <v>9126</v>
      </c>
      <c r="H118" s="36">
        <f t="shared" si="8"/>
        <v>4914</v>
      </c>
      <c r="I118" s="36">
        <f t="shared" si="9"/>
        <v>1872</v>
      </c>
    </row>
    <row r="119" spans="1:9">
      <c r="A119" t="s">
        <v>23</v>
      </c>
      <c r="B119">
        <v>10</v>
      </c>
      <c r="C119" t="s">
        <v>27</v>
      </c>
      <c r="D119" t="s">
        <v>13</v>
      </c>
      <c r="E119" s="35">
        <f t="shared" si="5"/>
        <v>98</v>
      </c>
      <c r="F119" s="36">
        <f t="shared" si="6"/>
        <v>14700</v>
      </c>
      <c r="G119" s="36">
        <f t="shared" si="7"/>
        <v>5733</v>
      </c>
      <c r="H119" s="36">
        <f t="shared" si="8"/>
        <v>3087</v>
      </c>
      <c r="I119" s="36">
        <f t="shared" si="9"/>
        <v>1176</v>
      </c>
    </row>
    <row r="120" spans="1:9">
      <c r="A120" t="s">
        <v>23</v>
      </c>
      <c r="B120">
        <v>10</v>
      </c>
      <c r="C120" t="s">
        <v>28</v>
      </c>
      <c r="D120" t="s">
        <v>13</v>
      </c>
      <c r="E120" s="35">
        <f t="shared" si="5"/>
        <v>90</v>
      </c>
      <c r="F120" s="36">
        <f t="shared" si="6"/>
        <v>13500</v>
      </c>
      <c r="G120" s="36">
        <f t="shared" si="7"/>
        <v>5265</v>
      </c>
      <c r="H120" s="36">
        <f t="shared" si="8"/>
        <v>2835</v>
      </c>
      <c r="I120" s="36">
        <f t="shared" si="9"/>
        <v>1080</v>
      </c>
    </row>
    <row r="121" spans="1:9">
      <c r="A121" t="s">
        <v>23</v>
      </c>
      <c r="B121">
        <v>10</v>
      </c>
      <c r="C121" t="s">
        <v>29</v>
      </c>
      <c r="D121" t="s">
        <v>13</v>
      </c>
      <c r="E121" s="35">
        <f t="shared" si="5"/>
        <v>66</v>
      </c>
      <c r="F121" s="36">
        <f t="shared" si="6"/>
        <v>9900</v>
      </c>
      <c r="G121" s="36">
        <f t="shared" si="7"/>
        <v>3861</v>
      </c>
      <c r="H121" s="36">
        <f t="shared" si="8"/>
        <v>2079</v>
      </c>
      <c r="I121" s="36">
        <f t="shared" si="9"/>
        <v>792</v>
      </c>
    </row>
    <row r="122" spans="1:9">
      <c r="A122" t="s">
        <v>24</v>
      </c>
      <c r="B122">
        <v>11</v>
      </c>
      <c r="C122" t="s">
        <v>26</v>
      </c>
      <c r="D122" t="s">
        <v>11</v>
      </c>
      <c r="E122" s="35">
        <f t="shared" si="5"/>
        <v>2213</v>
      </c>
      <c r="F122" s="36">
        <f t="shared" si="6"/>
        <v>99585</v>
      </c>
      <c r="G122" s="36">
        <f t="shared" si="7"/>
        <v>40276.6</v>
      </c>
      <c r="H122" s="36">
        <f t="shared" si="8"/>
        <v>21687.399999999998</v>
      </c>
      <c r="I122" s="36">
        <f t="shared" si="9"/>
        <v>7966.8</v>
      </c>
    </row>
    <row r="123" spans="1:9">
      <c r="A123" t="s">
        <v>24</v>
      </c>
      <c r="B123">
        <v>11</v>
      </c>
      <c r="C123" t="s">
        <v>27</v>
      </c>
      <c r="D123" t="s">
        <v>11</v>
      </c>
      <c r="E123" s="35">
        <f t="shared" si="5"/>
        <v>1398</v>
      </c>
      <c r="F123" s="36">
        <f t="shared" si="6"/>
        <v>62910</v>
      </c>
      <c r="G123" s="36">
        <f t="shared" si="7"/>
        <v>25443.600000000002</v>
      </c>
      <c r="H123" s="36">
        <f t="shared" si="8"/>
        <v>13700.4</v>
      </c>
      <c r="I123" s="36">
        <f t="shared" si="9"/>
        <v>5032.8</v>
      </c>
    </row>
    <row r="124" spans="1:9">
      <c r="A124" t="s">
        <v>24</v>
      </c>
      <c r="B124">
        <v>11</v>
      </c>
      <c r="C124" t="s">
        <v>28</v>
      </c>
      <c r="D124" t="s">
        <v>11</v>
      </c>
      <c r="E124" s="35">
        <f t="shared" si="5"/>
        <v>1281</v>
      </c>
      <c r="F124" s="36">
        <f t="shared" si="6"/>
        <v>57645</v>
      </c>
      <c r="G124" s="36">
        <f t="shared" si="7"/>
        <v>23314.2</v>
      </c>
      <c r="H124" s="36">
        <f t="shared" si="8"/>
        <v>12553.8</v>
      </c>
      <c r="I124" s="36">
        <f t="shared" si="9"/>
        <v>4611.6000000000004</v>
      </c>
    </row>
    <row r="125" spans="1:9">
      <c r="A125" t="s">
        <v>24</v>
      </c>
      <c r="B125">
        <v>11</v>
      </c>
      <c r="C125" t="s">
        <v>29</v>
      </c>
      <c r="D125" t="s">
        <v>11</v>
      </c>
      <c r="E125" s="35">
        <f t="shared" si="5"/>
        <v>932</v>
      </c>
      <c r="F125" s="36">
        <f t="shared" si="6"/>
        <v>41940</v>
      </c>
      <c r="G125" s="36">
        <f t="shared" si="7"/>
        <v>16962.400000000001</v>
      </c>
      <c r="H125" s="36">
        <f t="shared" si="8"/>
        <v>9133.5999999999985</v>
      </c>
      <c r="I125" s="36">
        <f t="shared" si="9"/>
        <v>3355.2000000000003</v>
      </c>
    </row>
    <row r="126" spans="1:9">
      <c r="A126" t="s">
        <v>24</v>
      </c>
      <c r="B126">
        <v>11</v>
      </c>
      <c r="C126" t="s">
        <v>26</v>
      </c>
      <c r="D126" t="s">
        <v>12</v>
      </c>
      <c r="E126" s="35">
        <f t="shared" si="5"/>
        <v>264</v>
      </c>
      <c r="F126" s="36">
        <f t="shared" si="6"/>
        <v>84480</v>
      </c>
      <c r="G126" s="36">
        <f t="shared" si="7"/>
        <v>36036</v>
      </c>
      <c r="H126" s="36">
        <f t="shared" si="8"/>
        <v>19404</v>
      </c>
      <c r="I126" s="36">
        <f t="shared" si="9"/>
        <v>6758.4000000000005</v>
      </c>
    </row>
    <row r="127" spans="1:9">
      <c r="A127" t="s">
        <v>24</v>
      </c>
      <c r="B127">
        <v>11</v>
      </c>
      <c r="C127" t="s">
        <v>27</v>
      </c>
      <c r="D127" t="s">
        <v>12</v>
      </c>
      <c r="E127" s="35">
        <f t="shared" si="5"/>
        <v>167</v>
      </c>
      <c r="F127" s="36">
        <f t="shared" si="6"/>
        <v>53440</v>
      </c>
      <c r="G127" s="36">
        <f t="shared" si="7"/>
        <v>22795.5</v>
      </c>
      <c r="H127" s="36">
        <f t="shared" si="8"/>
        <v>12274.5</v>
      </c>
      <c r="I127" s="36">
        <f t="shared" si="9"/>
        <v>4275.2</v>
      </c>
    </row>
    <row r="128" spans="1:9">
      <c r="A128" t="s">
        <v>24</v>
      </c>
      <c r="B128">
        <v>11</v>
      </c>
      <c r="C128" t="s">
        <v>28</v>
      </c>
      <c r="D128" t="s">
        <v>12</v>
      </c>
      <c r="E128" s="35">
        <f t="shared" si="5"/>
        <v>153</v>
      </c>
      <c r="F128" s="36">
        <f t="shared" si="6"/>
        <v>48960</v>
      </c>
      <c r="G128" s="36">
        <f t="shared" si="7"/>
        <v>20884.5</v>
      </c>
      <c r="H128" s="36">
        <f t="shared" si="8"/>
        <v>11245.5</v>
      </c>
      <c r="I128" s="36">
        <f t="shared" si="9"/>
        <v>3916.8</v>
      </c>
    </row>
    <row r="129" spans="1:9">
      <c r="A129" t="s">
        <v>24</v>
      </c>
      <c r="B129">
        <v>11</v>
      </c>
      <c r="C129" t="s">
        <v>29</v>
      </c>
      <c r="D129" t="s">
        <v>12</v>
      </c>
      <c r="E129" s="35">
        <f t="shared" si="5"/>
        <v>111</v>
      </c>
      <c r="F129" s="36">
        <f t="shared" si="6"/>
        <v>35520</v>
      </c>
      <c r="G129" s="36">
        <f t="shared" si="7"/>
        <v>15151.5</v>
      </c>
      <c r="H129" s="36">
        <f t="shared" si="8"/>
        <v>8158.4999999999991</v>
      </c>
      <c r="I129" s="36">
        <f t="shared" si="9"/>
        <v>2841.6</v>
      </c>
    </row>
    <row r="130" spans="1:9">
      <c r="A130" t="s">
        <v>24</v>
      </c>
      <c r="B130">
        <v>11</v>
      </c>
      <c r="C130" t="s">
        <v>26</v>
      </c>
      <c r="D130" t="s">
        <v>13</v>
      </c>
      <c r="E130" s="35">
        <f t="shared" si="5"/>
        <v>162</v>
      </c>
      <c r="F130" s="36">
        <f t="shared" si="6"/>
        <v>24300</v>
      </c>
      <c r="G130" s="36">
        <f t="shared" si="7"/>
        <v>9477</v>
      </c>
      <c r="H130" s="36">
        <f t="shared" si="8"/>
        <v>5103</v>
      </c>
      <c r="I130" s="36">
        <f t="shared" si="9"/>
        <v>1944</v>
      </c>
    </row>
    <row r="131" spans="1:9">
      <c r="A131" t="s">
        <v>24</v>
      </c>
      <c r="B131">
        <v>11</v>
      </c>
      <c r="C131" t="s">
        <v>27</v>
      </c>
      <c r="D131" t="s">
        <v>13</v>
      </c>
      <c r="E131" s="35">
        <f t="shared" ref="E131:E145" si="10">ROUND(VLOOKUP($D131,$K$2:$N$4,2,FALSE)*VLOOKUP($A131,$K$8:$L$19,2,FALSE)*VLOOKUP($C131,$K$23:$L$26,2,FALSE),0)</f>
        <v>102</v>
      </c>
      <c r="F131" s="36">
        <f t="shared" ref="F131:F145" si="11">E131*VLOOKUP($D131,$K$2:$N$4,3,FALSE)</f>
        <v>15300</v>
      </c>
      <c r="G131" s="36">
        <f t="shared" ref="G131:G145" si="12">E131*VLOOKUP($D131,$K$2:$N$4,4,FALSE)*0.65</f>
        <v>5967</v>
      </c>
      <c r="H131" s="36">
        <f t="shared" ref="H131:H145" si="13">E131*VLOOKUP($D131,$K$2:$N$4,4,FALSE)*0.35</f>
        <v>3213</v>
      </c>
      <c r="I131" s="36">
        <f t="shared" ref="I131:I145" si="14">F131*0.08</f>
        <v>1224</v>
      </c>
    </row>
    <row r="132" spans="1:9">
      <c r="A132" t="s">
        <v>24</v>
      </c>
      <c r="B132">
        <v>11</v>
      </c>
      <c r="C132" t="s">
        <v>28</v>
      </c>
      <c r="D132" t="s">
        <v>13</v>
      </c>
      <c r="E132" s="35">
        <f t="shared" si="10"/>
        <v>94</v>
      </c>
      <c r="F132" s="36">
        <f t="shared" si="11"/>
        <v>14100</v>
      </c>
      <c r="G132" s="36">
        <f t="shared" si="12"/>
        <v>5499</v>
      </c>
      <c r="H132" s="36">
        <f t="shared" si="13"/>
        <v>2961</v>
      </c>
      <c r="I132" s="36">
        <f t="shared" si="14"/>
        <v>1128</v>
      </c>
    </row>
    <row r="133" spans="1:9">
      <c r="A133" t="s">
        <v>24</v>
      </c>
      <c r="B133">
        <v>11</v>
      </c>
      <c r="C133" t="s">
        <v>29</v>
      </c>
      <c r="D133" t="s">
        <v>13</v>
      </c>
      <c r="E133" s="35">
        <f t="shared" si="10"/>
        <v>68</v>
      </c>
      <c r="F133" s="36">
        <f t="shared" si="11"/>
        <v>10200</v>
      </c>
      <c r="G133" s="36">
        <f t="shared" si="12"/>
        <v>3978</v>
      </c>
      <c r="H133" s="36">
        <f t="shared" si="13"/>
        <v>2142</v>
      </c>
      <c r="I133" s="36">
        <f t="shared" si="14"/>
        <v>816</v>
      </c>
    </row>
    <row r="134" spans="1:9">
      <c r="A134" t="s">
        <v>25</v>
      </c>
      <c r="B134">
        <v>12</v>
      </c>
      <c r="C134" t="s">
        <v>26</v>
      </c>
      <c r="D134" t="s">
        <v>11</v>
      </c>
      <c r="E134" s="35">
        <f t="shared" si="10"/>
        <v>2371</v>
      </c>
      <c r="F134" s="36">
        <f t="shared" si="11"/>
        <v>106695</v>
      </c>
      <c r="G134" s="36">
        <f t="shared" si="12"/>
        <v>43152.200000000004</v>
      </c>
      <c r="H134" s="36">
        <f t="shared" si="13"/>
        <v>23235.8</v>
      </c>
      <c r="I134" s="36">
        <f t="shared" si="14"/>
        <v>8535.6</v>
      </c>
    </row>
    <row r="135" spans="1:9">
      <c r="A135" t="s">
        <v>25</v>
      </c>
      <c r="B135">
        <v>12</v>
      </c>
      <c r="C135" t="s">
        <v>27</v>
      </c>
      <c r="D135" t="s">
        <v>11</v>
      </c>
      <c r="E135" s="35">
        <f t="shared" si="10"/>
        <v>1498</v>
      </c>
      <c r="F135" s="36">
        <f t="shared" si="11"/>
        <v>67410</v>
      </c>
      <c r="G135" s="36">
        <f t="shared" si="12"/>
        <v>27263.600000000002</v>
      </c>
      <c r="H135" s="36">
        <f t="shared" si="13"/>
        <v>14680.4</v>
      </c>
      <c r="I135" s="36">
        <f t="shared" si="14"/>
        <v>5392.8</v>
      </c>
    </row>
    <row r="136" spans="1:9">
      <c r="A136" t="s">
        <v>25</v>
      </c>
      <c r="B136">
        <v>12</v>
      </c>
      <c r="C136" t="s">
        <v>28</v>
      </c>
      <c r="D136" t="s">
        <v>11</v>
      </c>
      <c r="E136" s="35">
        <f t="shared" si="10"/>
        <v>1373</v>
      </c>
      <c r="F136" s="36">
        <f t="shared" si="11"/>
        <v>61785</v>
      </c>
      <c r="G136" s="36">
        <f t="shared" si="12"/>
        <v>24988.600000000002</v>
      </c>
      <c r="H136" s="36">
        <f t="shared" si="13"/>
        <v>13455.4</v>
      </c>
      <c r="I136" s="36">
        <f t="shared" si="14"/>
        <v>4942.8</v>
      </c>
    </row>
    <row r="137" spans="1:9">
      <c r="A137" t="s">
        <v>25</v>
      </c>
      <c r="B137">
        <v>12</v>
      </c>
      <c r="C137" t="s">
        <v>29</v>
      </c>
      <c r="D137" t="s">
        <v>11</v>
      </c>
      <c r="E137" s="35">
        <f t="shared" si="10"/>
        <v>998</v>
      </c>
      <c r="F137" s="36">
        <f t="shared" si="11"/>
        <v>44910</v>
      </c>
      <c r="G137" s="36">
        <f t="shared" si="12"/>
        <v>18163.600000000002</v>
      </c>
      <c r="H137" s="36">
        <f t="shared" si="13"/>
        <v>9780.4</v>
      </c>
      <c r="I137" s="36">
        <f t="shared" si="14"/>
        <v>3592.8</v>
      </c>
    </row>
    <row r="138" spans="1:9">
      <c r="A138" t="s">
        <v>25</v>
      </c>
      <c r="B138">
        <v>12</v>
      </c>
      <c r="C138" t="s">
        <v>26</v>
      </c>
      <c r="D138" t="s">
        <v>12</v>
      </c>
      <c r="E138" s="35">
        <f t="shared" si="10"/>
        <v>283</v>
      </c>
      <c r="F138" s="36">
        <f t="shared" si="11"/>
        <v>90560</v>
      </c>
      <c r="G138" s="36">
        <f t="shared" si="12"/>
        <v>38629.5</v>
      </c>
      <c r="H138" s="36">
        <f t="shared" si="13"/>
        <v>20800.5</v>
      </c>
      <c r="I138" s="36">
        <f t="shared" si="14"/>
        <v>7244.8</v>
      </c>
    </row>
    <row r="139" spans="1:9">
      <c r="A139" t="s">
        <v>25</v>
      </c>
      <c r="B139">
        <v>12</v>
      </c>
      <c r="C139" t="s">
        <v>27</v>
      </c>
      <c r="D139" t="s">
        <v>12</v>
      </c>
      <c r="E139" s="35">
        <f t="shared" si="10"/>
        <v>179</v>
      </c>
      <c r="F139" s="36">
        <f t="shared" si="11"/>
        <v>57280</v>
      </c>
      <c r="G139" s="36">
        <f t="shared" si="12"/>
        <v>24433.5</v>
      </c>
      <c r="H139" s="36">
        <f t="shared" si="13"/>
        <v>13156.5</v>
      </c>
      <c r="I139" s="36">
        <f t="shared" si="14"/>
        <v>4582.4000000000005</v>
      </c>
    </row>
    <row r="140" spans="1:9">
      <c r="A140" t="s">
        <v>25</v>
      </c>
      <c r="B140">
        <v>12</v>
      </c>
      <c r="C140" t="s">
        <v>28</v>
      </c>
      <c r="D140" t="s">
        <v>12</v>
      </c>
      <c r="E140" s="35">
        <f t="shared" si="10"/>
        <v>164</v>
      </c>
      <c r="F140" s="36">
        <f t="shared" si="11"/>
        <v>52480</v>
      </c>
      <c r="G140" s="36">
        <f t="shared" si="12"/>
        <v>22386</v>
      </c>
      <c r="H140" s="36">
        <f t="shared" si="13"/>
        <v>12054</v>
      </c>
      <c r="I140" s="36">
        <f t="shared" si="14"/>
        <v>4198.3999999999996</v>
      </c>
    </row>
    <row r="141" spans="1:9">
      <c r="A141" t="s">
        <v>25</v>
      </c>
      <c r="B141">
        <v>12</v>
      </c>
      <c r="C141" t="s">
        <v>29</v>
      </c>
      <c r="D141" t="s">
        <v>12</v>
      </c>
      <c r="E141" s="35">
        <f t="shared" si="10"/>
        <v>119</v>
      </c>
      <c r="F141" s="36">
        <f t="shared" si="11"/>
        <v>38080</v>
      </c>
      <c r="G141" s="36">
        <f t="shared" si="12"/>
        <v>16243.5</v>
      </c>
      <c r="H141" s="36">
        <f t="shared" si="13"/>
        <v>8746.5</v>
      </c>
      <c r="I141" s="36">
        <f t="shared" si="14"/>
        <v>3046.4</v>
      </c>
    </row>
    <row r="142" spans="1:9">
      <c r="A142" t="s">
        <v>25</v>
      </c>
      <c r="B142">
        <v>12</v>
      </c>
      <c r="C142" t="s">
        <v>26</v>
      </c>
      <c r="D142" t="s">
        <v>13</v>
      </c>
      <c r="E142" s="35">
        <f t="shared" si="10"/>
        <v>173</v>
      </c>
      <c r="F142" s="36">
        <f t="shared" si="11"/>
        <v>25950</v>
      </c>
      <c r="G142" s="36">
        <f t="shared" si="12"/>
        <v>10120.5</v>
      </c>
      <c r="H142" s="36">
        <f t="shared" si="13"/>
        <v>5449.5</v>
      </c>
      <c r="I142" s="36">
        <f t="shared" si="14"/>
        <v>2076</v>
      </c>
    </row>
    <row r="143" spans="1:9">
      <c r="A143" t="s">
        <v>25</v>
      </c>
      <c r="B143">
        <v>12</v>
      </c>
      <c r="C143" t="s">
        <v>27</v>
      </c>
      <c r="D143" t="s">
        <v>13</v>
      </c>
      <c r="E143" s="35">
        <f t="shared" si="10"/>
        <v>109</v>
      </c>
      <c r="F143" s="36">
        <f t="shared" si="11"/>
        <v>16350</v>
      </c>
      <c r="G143" s="36">
        <f t="shared" si="12"/>
        <v>6376.5</v>
      </c>
      <c r="H143" s="36">
        <f t="shared" si="13"/>
        <v>3433.5</v>
      </c>
      <c r="I143" s="36">
        <f t="shared" si="14"/>
        <v>1308</v>
      </c>
    </row>
    <row r="144" spans="1:9">
      <c r="A144" t="s">
        <v>25</v>
      </c>
      <c r="B144">
        <v>12</v>
      </c>
      <c r="C144" t="s">
        <v>28</v>
      </c>
      <c r="D144" t="s">
        <v>13</v>
      </c>
      <c r="E144" s="35">
        <f t="shared" si="10"/>
        <v>100</v>
      </c>
      <c r="F144" s="36">
        <f t="shared" si="11"/>
        <v>15000</v>
      </c>
      <c r="G144" s="36">
        <f t="shared" si="12"/>
        <v>5850</v>
      </c>
      <c r="H144" s="36">
        <f t="shared" si="13"/>
        <v>3150</v>
      </c>
      <c r="I144" s="36">
        <f t="shared" si="14"/>
        <v>1200</v>
      </c>
    </row>
    <row r="145" spans="1:9">
      <c r="A145" t="s">
        <v>25</v>
      </c>
      <c r="B145">
        <v>12</v>
      </c>
      <c r="C145" t="s">
        <v>29</v>
      </c>
      <c r="D145" t="s">
        <v>13</v>
      </c>
      <c r="E145" s="35">
        <f t="shared" si="10"/>
        <v>73</v>
      </c>
      <c r="F145" s="36">
        <f t="shared" si="11"/>
        <v>10950</v>
      </c>
      <c r="G145" s="36">
        <f t="shared" si="12"/>
        <v>4270.5</v>
      </c>
      <c r="H145" s="36">
        <f t="shared" si="13"/>
        <v>2299.5</v>
      </c>
      <c r="I145" s="36">
        <f t="shared" si="14"/>
        <v>876</v>
      </c>
    </row>
    <row r="147" spans="1:9">
      <c r="F147" s="36">
        <f>SUM(F2:F145)</f>
        <v>5784490</v>
      </c>
    </row>
  </sheetData>
  <phoneticPr fontId="4" type="noConversion"/>
  <dataValidations count="3">
    <dataValidation type="list" allowBlank="1" showInputMessage="1" showErrorMessage="1" sqref="D2:D145" xr:uid="{1DA46A00-EE7B-4C49-B806-C09F65CFD27E}">
      <formula1>ListeProduits</formula1>
    </dataValidation>
    <dataValidation type="list" allowBlank="1" showInputMessage="1" showErrorMessage="1" sqref="C2:C145" xr:uid="{D63EA2F2-5D47-4152-96D4-E99430274483}">
      <formula1>ListeRegions</formula1>
    </dataValidation>
    <dataValidation type="list" allowBlank="1" showInputMessage="1" showErrorMessage="1" sqref="A2:A145" xr:uid="{64A780AB-64E9-4A2D-9A29-AA377A791B50}">
      <formula1>ListeMois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82021-877B-48CC-810F-0A4371576941}">
  <dimension ref="A1:P145"/>
  <sheetViews>
    <sheetView workbookViewId="0">
      <selection activeCell="L8" sqref="L8:L18"/>
    </sheetView>
  </sheetViews>
  <sheetFormatPr defaultRowHeight="14.4"/>
  <cols>
    <col min="4" max="4" width="11.109375" bestFit="1" customWidth="1"/>
    <col min="5" max="5" width="13.5546875" bestFit="1" customWidth="1"/>
    <col min="6" max="6" width="9.88671875" bestFit="1" customWidth="1"/>
    <col min="7" max="7" width="19.109375" bestFit="1" customWidth="1"/>
    <col min="8" max="8" width="14.77734375" bestFit="1" customWidth="1"/>
    <col min="9" max="9" width="19.109375" bestFit="1" customWidth="1"/>
    <col min="10" max="10" width="5.88671875" customWidth="1"/>
    <col min="11" max="11" width="11.44140625" bestFit="1" customWidth="1"/>
    <col min="12" max="12" width="12.109375" bestFit="1" customWidth="1"/>
    <col min="13" max="13" width="11.6640625" bestFit="1" customWidth="1"/>
    <col min="14" max="14" width="12.33203125" bestFit="1" customWidth="1"/>
    <col min="16" max="16" width="11.5546875" bestFit="1" customWidth="1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38</v>
      </c>
      <c r="F1" s="1" t="s">
        <v>37</v>
      </c>
      <c r="G1" s="1" t="s">
        <v>39</v>
      </c>
      <c r="H1" s="1" t="s">
        <v>40</v>
      </c>
      <c r="I1" s="1" t="s">
        <v>41</v>
      </c>
      <c r="K1" s="1" t="s">
        <v>3</v>
      </c>
      <c r="L1" s="1" t="s">
        <v>6</v>
      </c>
      <c r="M1" s="1" t="s">
        <v>7</v>
      </c>
      <c r="N1" s="1" t="s">
        <v>8</v>
      </c>
    </row>
    <row r="2" spans="1:16">
      <c r="A2" t="s">
        <v>14</v>
      </c>
      <c r="B2">
        <v>1</v>
      </c>
      <c r="C2" t="s">
        <v>26</v>
      </c>
      <c r="D2" t="s">
        <v>11</v>
      </c>
      <c r="E2" s="35">
        <v>1804</v>
      </c>
      <c r="F2" s="36">
        <v>79791.69</v>
      </c>
      <c r="G2" s="36">
        <v>32702.51</v>
      </c>
      <c r="H2" s="36">
        <v>18043.73</v>
      </c>
      <c r="I2" s="36">
        <v>6315.18</v>
      </c>
      <c r="J2" s="4"/>
      <c r="K2" s="4" t="s">
        <v>11</v>
      </c>
      <c r="L2" s="35">
        <v>5200</v>
      </c>
      <c r="M2" s="37">
        <v>45</v>
      </c>
      <c r="N2" s="37">
        <v>28</v>
      </c>
    </row>
    <row r="3" spans="1:16">
      <c r="A3" t="s">
        <v>14</v>
      </c>
      <c r="B3">
        <v>1</v>
      </c>
      <c r="C3" t="s">
        <v>27</v>
      </c>
      <c r="D3" t="s">
        <v>11</v>
      </c>
      <c r="E3" s="35">
        <v>1123</v>
      </c>
      <c r="F3" s="36">
        <v>50291.38</v>
      </c>
      <c r="G3" s="36">
        <v>20096.43</v>
      </c>
      <c r="H3" s="36">
        <v>11240.93</v>
      </c>
      <c r="I3" s="36">
        <v>3973.54</v>
      </c>
      <c r="K3" t="s">
        <v>12</v>
      </c>
      <c r="L3" s="35">
        <v>620</v>
      </c>
      <c r="M3" s="37">
        <v>320</v>
      </c>
      <c r="N3" s="37">
        <v>210</v>
      </c>
    </row>
    <row r="4" spans="1:16">
      <c r="A4" t="s">
        <v>14</v>
      </c>
      <c r="B4">
        <v>1</v>
      </c>
      <c r="C4" t="s">
        <v>28</v>
      </c>
      <c r="D4" t="s">
        <v>11</v>
      </c>
      <c r="E4" s="35">
        <v>1011</v>
      </c>
      <c r="F4" s="36">
        <v>46357.53</v>
      </c>
      <c r="G4" s="36">
        <v>17992.310000000001</v>
      </c>
      <c r="H4" s="36">
        <v>9946.5400000000009</v>
      </c>
      <c r="I4" s="36">
        <v>3652.28</v>
      </c>
      <c r="K4" t="s">
        <v>13</v>
      </c>
      <c r="L4" s="35">
        <v>380</v>
      </c>
      <c r="M4" s="37">
        <v>150</v>
      </c>
      <c r="N4" s="37">
        <v>90</v>
      </c>
    </row>
    <row r="5" spans="1:16">
      <c r="A5" t="s">
        <v>14</v>
      </c>
      <c r="B5">
        <v>1</v>
      </c>
      <c r="C5" t="s">
        <v>29</v>
      </c>
      <c r="D5" t="s">
        <v>11</v>
      </c>
      <c r="E5" s="35">
        <v>729</v>
      </c>
      <c r="F5" s="36">
        <v>32813.599999999999</v>
      </c>
      <c r="G5" s="36">
        <v>12926.24</v>
      </c>
      <c r="H5" s="36">
        <v>7153.37</v>
      </c>
      <c r="I5" s="36">
        <v>2595.0100000000002</v>
      </c>
    </row>
    <row r="6" spans="1:16">
      <c r="A6" t="s">
        <v>14</v>
      </c>
      <c r="B6">
        <v>1</v>
      </c>
      <c r="C6" t="s">
        <v>26</v>
      </c>
      <c r="D6" t="s">
        <v>12</v>
      </c>
      <c r="E6" s="35">
        <v>219</v>
      </c>
      <c r="F6" s="36">
        <v>70576.98</v>
      </c>
      <c r="G6" s="36">
        <v>29813.15</v>
      </c>
      <c r="H6" s="36">
        <v>16233.12</v>
      </c>
      <c r="I6" s="36">
        <v>5644.62</v>
      </c>
    </row>
    <row r="7" spans="1:16">
      <c r="A7" t="s">
        <v>14</v>
      </c>
      <c r="B7">
        <v>1</v>
      </c>
      <c r="C7" t="s">
        <v>27</v>
      </c>
      <c r="D7" t="s">
        <v>12</v>
      </c>
      <c r="E7" s="35">
        <v>133</v>
      </c>
      <c r="F7" s="36">
        <v>42465.23</v>
      </c>
      <c r="G7" s="36">
        <v>17717.96</v>
      </c>
      <c r="H7" s="36">
        <v>9906.25</v>
      </c>
      <c r="I7" s="36">
        <v>3424.2</v>
      </c>
      <c r="K7" s="2" t="s">
        <v>0</v>
      </c>
      <c r="L7" s="2" t="s">
        <v>9</v>
      </c>
    </row>
    <row r="8" spans="1:16">
      <c r="A8" t="s">
        <v>14</v>
      </c>
      <c r="B8">
        <v>1</v>
      </c>
      <c r="C8" t="s">
        <v>28</v>
      </c>
      <c r="D8" t="s">
        <v>12</v>
      </c>
      <c r="E8" s="35">
        <v>127</v>
      </c>
      <c r="F8" s="36">
        <v>40550.99</v>
      </c>
      <c r="G8" s="36">
        <v>17603.09</v>
      </c>
      <c r="H8" s="36">
        <v>9152.5400000000009</v>
      </c>
      <c r="I8" s="36">
        <v>3205.13</v>
      </c>
      <c r="K8" t="s">
        <v>14</v>
      </c>
      <c r="L8" s="3">
        <v>0.9</v>
      </c>
      <c r="P8" s="3"/>
    </row>
    <row r="9" spans="1:16">
      <c r="A9" t="s">
        <v>14</v>
      </c>
      <c r="B9">
        <v>1</v>
      </c>
      <c r="C9" t="s">
        <v>29</v>
      </c>
      <c r="D9" t="s">
        <v>12</v>
      </c>
      <c r="E9" s="35">
        <v>88</v>
      </c>
      <c r="F9" s="36">
        <v>27947.03</v>
      </c>
      <c r="G9" s="36">
        <v>11991.17</v>
      </c>
      <c r="H9" s="36">
        <v>6442.79</v>
      </c>
      <c r="I9" s="36">
        <v>2295.9699999999998</v>
      </c>
      <c r="K9" t="s">
        <v>15</v>
      </c>
      <c r="L9" s="3">
        <v>0.92</v>
      </c>
    </row>
    <row r="10" spans="1:16">
      <c r="A10" t="s">
        <v>14</v>
      </c>
      <c r="B10">
        <v>1</v>
      </c>
      <c r="C10" t="s">
        <v>26</v>
      </c>
      <c r="D10" t="s">
        <v>13</v>
      </c>
      <c r="E10" s="35">
        <v>127</v>
      </c>
      <c r="F10" s="36">
        <v>19343.03</v>
      </c>
      <c r="G10" s="36">
        <v>7491.2</v>
      </c>
      <c r="H10" s="36">
        <v>4060.89</v>
      </c>
      <c r="I10" s="36">
        <v>1513.87</v>
      </c>
      <c r="K10" t="s">
        <v>16</v>
      </c>
      <c r="L10" s="3">
        <v>1</v>
      </c>
    </row>
    <row r="11" spans="1:16">
      <c r="A11" t="s">
        <v>14</v>
      </c>
      <c r="B11">
        <v>1</v>
      </c>
      <c r="C11" t="s">
        <v>27</v>
      </c>
      <c r="D11" t="s">
        <v>13</v>
      </c>
      <c r="E11" s="35">
        <v>83</v>
      </c>
      <c r="F11" s="36">
        <v>12482.92</v>
      </c>
      <c r="G11" s="36">
        <v>4984.55</v>
      </c>
      <c r="H11" s="36">
        <v>2633.98</v>
      </c>
      <c r="I11" s="36">
        <v>1025.24</v>
      </c>
      <c r="K11" t="s">
        <v>17</v>
      </c>
      <c r="L11" s="3">
        <v>1.02</v>
      </c>
    </row>
    <row r="12" spans="1:16">
      <c r="A12" t="s">
        <v>14</v>
      </c>
      <c r="B12">
        <v>1</v>
      </c>
      <c r="C12" t="s">
        <v>28</v>
      </c>
      <c r="D12" t="s">
        <v>13</v>
      </c>
      <c r="E12" s="35">
        <v>73</v>
      </c>
      <c r="F12" s="36">
        <v>11058.05</v>
      </c>
      <c r="G12" s="36">
        <v>4172.83</v>
      </c>
      <c r="H12" s="36">
        <v>2294.8200000000002</v>
      </c>
      <c r="I12" s="36">
        <v>870.81</v>
      </c>
      <c r="K12" t="s">
        <v>18</v>
      </c>
      <c r="L12" s="3">
        <v>1.03</v>
      </c>
    </row>
    <row r="13" spans="1:16">
      <c r="A13" t="s">
        <v>14</v>
      </c>
      <c r="B13">
        <v>1</v>
      </c>
      <c r="C13" t="s">
        <v>29</v>
      </c>
      <c r="D13" t="s">
        <v>13</v>
      </c>
      <c r="E13" s="35">
        <v>54</v>
      </c>
      <c r="F13" s="36">
        <v>8145.76</v>
      </c>
      <c r="G13" s="36">
        <v>3066.63</v>
      </c>
      <c r="H13" s="36">
        <v>1659.33</v>
      </c>
      <c r="I13" s="36">
        <v>634.66999999999996</v>
      </c>
      <c r="K13" t="s">
        <v>19</v>
      </c>
      <c r="L13" s="3">
        <v>1.05</v>
      </c>
    </row>
    <row r="14" spans="1:16">
      <c r="A14" t="s">
        <v>15</v>
      </c>
      <c r="B14">
        <v>2</v>
      </c>
      <c r="C14" t="s">
        <v>26</v>
      </c>
      <c r="D14" t="s">
        <v>11</v>
      </c>
      <c r="E14" s="35">
        <v>1890</v>
      </c>
      <c r="F14" s="36">
        <v>85716.33</v>
      </c>
      <c r="G14" s="36">
        <v>33373.22</v>
      </c>
      <c r="H14" s="36">
        <v>18073.849999999999</v>
      </c>
      <c r="I14" s="36">
        <v>6960.24</v>
      </c>
      <c r="K14" t="s">
        <v>20</v>
      </c>
      <c r="L14" s="3">
        <v>0.95</v>
      </c>
    </row>
    <row r="15" spans="1:16">
      <c r="A15" t="s">
        <v>15</v>
      </c>
      <c r="B15">
        <v>2</v>
      </c>
      <c r="C15" t="s">
        <v>27</v>
      </c>
      <c r="D15" t="s">
        <v>11</v>
      </c>
      <c r="E15" s="35">
        <v>1172</v>
      </c>
      <c r="F15" s="36">
        <v>52140.77</v>
      </c>
      <c r="G15" s="36">
        <v>21921.77</v>
      </c>
      <c r="H15" s="36">
        <v>11315.83</v>
      </c>
      <c r="I15" s="36">
        <v>4049.73</v>
      </c>
      <c r="K15" t="s">
        <v>21</v>
      </c>
      <c r="L15" s="3">
        <v>0.55000000000000004</v>
      </c>
    </row>
    <row r="16" spans="1:16">
      <c r="A16" t="s">
        <v>15</v>
      </c>
      <c r="B16">
        <v>2</v>
      </c>
      <c r="C16" t="s">
        <v>28</v>
      </c>
      <c r="D16" t="s">
        <v>11</v>
      </c>
      <c r="E16" s="35">
        <v>1074</v>
      </c>
      <c r="F16" s="36">
        <v>48730.45</v>
      </c>
      <c r="G16" s="36">
        <v>19844.7</v>
      </c>
      <c r="H16" s="36">
        <v>10559.45</v>
      </c>
      <c r="I16" s="36">
        <v>3891.14</v>
      </c>
      <c r="K16" t="s">
        <v>22</v>
      </c>
      <c r="L16" s="3">
        <v>1</v>
      </c>
    </row>
    <row r="17" spans="1:12">
      <c r="A17" t="s">
        <v>15</v>
      </c>
      <c r="B17">
        <v>2</v>
      </c>
      <c r="C17" t="s">
        <v>29</v>
      </c>
      <c r="D17" t="s">
        <v>11</v>
      </c>
      <c r="E17" s="35">
        <v>772</v>
      </c>
      <c r="F17" s="36">
        <v>34510.699999999997</v>
      </c>
      <c r="G17" s="36">
        <v>14194.29</v>
      </c>
      <c r="H17" s="36">
        <v>7664.71</v>
      </c>
      <c r="I17" s="36">
        <v>2827.4</v>
      </c>
      <c r="K17" t="s">
        <v>23</v>
      </c>
      <c r="L17" s="3">
        <v>1.08</v>
      </c>
    </row>
    <row r="18" spans="1:12">
      <c r="A18" t="s">
        <v>15</v>
      </c>
      <c r="B18">
        <v>2</v>
      </c>
      <c r="C18" t="s">
        <v>26</v>
      </c>
      <c r="D18" t="s">
        <v>12</v>
      </c>
      <c r="E18" s="35">
        <v>215</v>
      </c>
      <c r="F18" s="36">
        <v>67437.81</v>
      </c>
      <c r="G18" s="36">
        <v>29711.66</v>
      </c>
      <c r="H18" s="36">
        <v>15586.83</v>
      </c>
      <c r="I18" s="36">
        <v>5471.91</v>
      </c>
      <c r="K18" t="s">
        <v>24</v>
      </c>
      <c r="L18" s="3">
        <v>1.1200000000000001</v>
      </c>
    </row>
    <row r="19" spans="1:12">
      <c r="A19" t="s">
        <v>15</v>
      </c>
      <c r="B19">
        <v>2</v>
      </c>
      <c r="C19" t="s">
        <v>27</v>
      </c>
      <c r="D19" t="s">
        <v>12</v>
      </c>
      <c r="E19" s="35">
        <v>133</v>
      </c>
      <c r="F19" s="36">
        <v>42125.71</v>
      </c>
      <c r="G19" s="36">
        <v>17930.599999999999</v>
      </c>
      <c r="H19" s="36">
        <v>9908.01</v>
      </c>
      <c r="I19" s="36">
        <v>3463.81</v>
      </c>
      <c r="K19" t="s">
        <v>25</v>
      </c>
      <c r="L19" s="3">
        <v>1.2</v>
      </c>
    </row>
    <row r="20" spans="1:12">
      <c r="A20" t="s">
        <v>15</v>
      </c>
      <c r="B20">
        <v>2</v>
      </c>
      <c r="C20" t="s">
        <v>28</v>
      </c>
      <c r="D20" t="s">
        <v>12</v>
      </c>
      <c r="E20" s="35">
        <v>126</v>
      </c>
      <c r="F20" s="36">
        <v>39779.4</v>
      </c>
      <c r="G20" s="36">
        <v>16982.439999999999</v>
      </c>
      <c r="H20" s="36">
        <v>9383.2999999999993</v>
      </c>
      <c r="I20" s="36">
        <v>3213.78</v>
      </c>
    </row>
    <row r="21" spans="1:12">
      <c r="A21" t="s">
        <v>15</v>
      </c>
      <c r="B21">
        <v>2</v>
      </c>
      <c r="C21" t="s">
        <v>29</v>
      </c>
      <c r="D21" t="s">
        <v>12</v>
      </c>
      <c r="E21" s="35">
        <v>93</v>
      </c>
      <c r="F21" s="36">
        <v>30231.47</v>
      </c>
      <c r="G21" s="36">
        <v>12805.6</v>
      </c>
      <c r="H21" s="36">
        <v>6788.3</v>
      </c>
      <c r="I21" s="36">
        <v>2388.56</v>
      </c>
    </row>
    <row r="22" spans="1:12">
      <c r="A22" t="s">
        <v>15</v>
      </c>
      <c r="B22">
        <v>2</v>
      </c>
      <c r="C22" t="s">
        <v>26</v>
      </c>
      <c r="D22" t="s">
        <v>13</v>
      </c>
      <c r="E22" s="35">
        <v>138</v>
      </c>
      <c r="F22" s="36">
        <v>20720.46</v>
      </c>
      <c r="G22" s="36">
        <v>7952.2</v>
      </c>
      <c r="H22" s="36">
        <v>4239.88</v>
      </c>
      <c r="I22" s="36">
        <v>1664.92</v>
      </c>
      <c r="K22" s="2" t="s">
        <v>2</v>
      </c>
      <c r="L22" s="2" t="s">
        <v>10</v>
      </c>
    </row>
    <row r="23" spans="1:12">
      <c r="A23" t="s">
        <v>15</v>
      </c>
      <c r="B23">
        <v>2</v>
      </c>
      <c r="C23" t="s">
        <v>27</v>
      </c>
      <c r="D23" t="s">
        <v>13</v>
      </c>
      <c r="E23" s="35">
        <v>81</v>
      </c>
      <c r="F23" s="36">
        <v>12050.4</v>
      </c>
      <c r="G23" s="36">
        <v>4698.6099999999997</v>
      </c>
      <c r="H23" s="36">
        <v>2509.09</v>
      </c>
      <c r="I23" s="36">
        <v>946.71</v>
      </c>
      <c r="K23" t="s">
        <v>26</v>
      </c>
      <c r="L23" s="3">
        <v>0.38</v>
      </c>
    </row>
    <row r="24" spans="1:12">
      <c r="A24" t="s">
        <v>15</v>
      </c>
      <c r="B24">
        <v>2</v>
      </c>
      <c r="C24" t="s">
        <v>28</v>
      </c>
      <c r="D24" t="s">
        <v>13</v>
      </c>
      <c r="E24" s="35">
        <v>80</v>
      </c>
      <c r="F24" s="36">
        <v>12239.52</v>
      </c>
      <c r="G24" s="36">
        <v>4629.7700000000004</v>
      </c>
      <c r="H24" s="36">
        <v>2495.2800000000002</v>
      </c>
      <c r="I24" s="36">
        <v>1000.28</v>
      </c>
      <c r="K24" t="s">
        <v>27</v>
      </c>
      <c r="L24" s="3">
        <v>0.24</v>
      </c>
    </row>
    <row r="25" spans="1:12">
      <c r="A25" t="s">
        <v>15</v>
      </c>
      <c r="B25">
        <v>2</v>
      </c>
      <c r="C25" t="s">
        <v>29</v>
      </c>
      <c r="D25" t="s">
        <v>13</v>
      </c>
      <c r="E25" s="35">
        <v>55</v>
      </c>
      <c r="F25" s="36">
        <v>8155.99</v>
      </c>
      <c r="G25" s="36">
        <v>3172.09</v>
      </c>
      <c r="H25" s="36">
        <v>1699.97</v>
      </c>
      <c r="I25" s="36">
        <v>651.41</v>
      </c>
      <c r="K25" t="s">
        <v>28</v>
      </c>
      <c r="L25" s="3">
        <v>0.22</v>
      </c>
    </row>
    <row r="26" spans="1:12">
      <c r="A26" t="s">
        <v>16</v>
      </c>
      <c r="B26">
        <v>3</v>
      </c>
      <c r="C26" t="s">
        <v>26</v>
      </c>
      <c r="D26" t="s">
        <v>11</v>
      </c>
      <c r="E26" s="35">
        <v>1982</v>
      </c>
      <c r="F26" s="36">
        <v>89317.09</v>
      </c>
      <c r="G26" s="36">
        <v>36009.360000000001</v>
      </c>
      <c r="H26" s="36">
        <v>19363.45</v>
      </c>
      <c r="I26" s="36">
        <v>7280.94</v>
      </c>
      <c r="K26" t="s">
        <v>29</v>
      </c>
      <c r="L26" s="3">
        <v>0.16</v>
      </c>
    </row>
    <row r="27" spans="1:12">
      <c r="A27" t="s">
        <v>16</v>
      </c>
      <c r="B27">
        <v>3</v>
      </c>
      <c r="C27" t="s">
        <v>27</v>
      </c>
      <c r="D27" t="s">
        <v>11</v>
      </c>
      <c r="E27" s="35">
        <v>1293</v>
      </c>
      <c r="F27" s="36">
        <v>58378.05</v>
      </c>
      <c r="G27" s="36">
        <v>23384.31</v>
      </c>
      <c r="H27" s="36">
        <v>12685.9</v>
      </c>
      <c r="I27" s="36">
        <v>4801.53</v>
      </c>
    </row>
    <row r="28" spans="1:12">
      <c r="A28" t="s">
        <v>16</v>
      </c>
      <c r="B28">
        <v>3</v>
      </c>
      <c r="C28" t="s">
        <v>28</v>
      </c>
      <c r="D28" t="s">
        <v>11</v>
      </c>
      <c r="E28" s="35">
        <v>1144</v>
      </c>
      <c r="F28" s="36">
        <v>51098.14</v>
      </c>
      <c r="G28" s="36">
        <v>21232.240000000002</v>
      </c>
      <c r="H28" s="36">
        <v>10930.93</v>
      </c>
      <c r="I28" s="36">
        <v>4048.46</v>
      </c>
    </row>
    <row r="29" spans="1:12">
      <c r="A29" t="s">
        <v>16</v>
      </c>
      <c r="B29">
        <v>3</v>
      </c>
      <c r="C29" t="s">
        <v>29</v>
      </c>
      <c r="D29" t="s">
        <v>11</v>
      </c>
      <c r="E29" s="35">
        <v>804</v>
      </c>
      <c r="F29" s="36">
        <v>36058.75</v>
      </c>
      <c r="G29" s="36">
        <v>14853.24</v>
      </c>
      <c r="H29" s="36">
        <v>7735.52</v>
      </c>
      <c r="I29" s="36">
        <v>2938.91</v>
      </c>
    </row>
    <row r="30" spans="1:12">
      <c r="A30" t="s">
        <v>16</v>
      </c>
      <c r="B30">
        <v>3</v>
      </c>
      <c r="C30" t="s">
        <v>26</v>
      </c>
      <c r="D30" t="s">
        <v>12</v>
      </c>
      <c r="E30" s="35">
        <v>241</v>
      </c>
      <c r="F30" s="36">
        <v>78073.710000000006</v>
      </c>
      <c r="G30" s="36">
        <v>32817.379999999997</v>
      </c>
      <c r="H30" s="36">
        <v>18022.72</v>
      </c>
      <c r="I30" s="36">
        <v>6182.2</v>
      </c>
    </row>
    <row r="31" spans="1:12">
      <c r="A31" t="s">
        <v>16</v>
      </c>
      <c r="B31">
        <v>3</v>
      </c>
      <c r="C31" t="s">
        <v>27</v>
      </c>
      <c r="D31" t="s">
        <v>12</v>
      </c>
      <c r="E31" s="35">
        <v>150</v>
      </c>
      <c r="F31" s="36">
        <v>47431.519999999997</v>
      </c>
      <c r="G31" s="36">
        <v>20287.16</v>
      </c>
      <c r="H31" s="36">
        <v>11094.84</v>
      </c>
      <c r="I31" s="36">
        <v>3905.01</v>
      </c>
    </row>
    <row r="32" spans="1:12">
      <c r="A32" t="s">
        <v>16</v>
      </c>
      <c r="B32">
        <v>3</v>
      </c>
      <c r="C32" t="s">
        <v>28</v>
      </c>
      <c r="D32" t="s">
        <v>12</v>
      </c>
      <c r="E32" s="35">
        <v>136</v>
      </c>
      <c r="F32" s="36">
        <v>43666.67</v>
      </c>
      <c r="G32" s="36">
        <v>18144.490000000002</v>
      </c>
      <c r="H32" s="36">
        <v>10100.370000000001</v>
      </c>
      <c r="I32" s="36">
        <v>3399.27</v>
      </c>
    </row>
    <row r="33" spans="1:9">
      <c r="A33" t="s">
        <v>16</v>
      </c>
      <c r="B33">
        <v>3</v>
      </c>
      <c r="C33" t="s">
        <v>29</v>
      </c>
      <c r="D33" t="s">
        <v>12</v>
      </c>
      <c r="E33" s="35">
        <v>95</v>
      </c>
      <c r="F33" s="36">
        <v>30613.86</v>
      </c>
      <c r="G33" s="36">
        <v>12862.3</v>
      </c>
      <c r="H33" s="36">
        <v>6906.15</v>
      </c>
      <c r="I33" s="36">
        <v>2501.0700000000002</v>
      </c>
    </row>
    <row r="34" spans="1:9">
      <c r="A34" t="s">
        <v>16</v>
      </c>
      <c r="B34">
        <v>3</v>
      </c>
      <c r="C34" t="s">
        <v>26</v>
      </c>
      <c r="D34" t="s">
        <v>13</v>
      </c>
      <c r="E34" s="35">
        <v>146</v>
      </c>
      <c r="F34" s="36">
        <v>21760.19</v>
      </c>
      <c r="G34" s="36">
        <v>8495.23</v>
      </c>
      <c r="H34" s="36">
        <v>4669.79</v>
      </c>
      <c r="I34" s="36">
        <v>1738.81</v>
      </c>
    </row>
    <row r="35" spans="1:9">
      <c r="A35" t="s">
        <v>16</v>
      </c>
      <c r="B35">
        <v>3</v>
      </c>
      <c r="C35" t="s">
        <v>27</v>
      </c>
      <c r="D35" t="s">
        <v>13</v>
      </c>
      <c r="E35" s="35">
        <v>88</v>
      </c>
      <c r="F35" s="36">
        <v>13402.18</v>
      </c>
      <c r="G35" s="36">
        <v>5192.96</v>
      </c>
      <c r="H35" s="36">
        <v>2735.39</v>
      </c>
      <c r="I35" s="36">
        <v>1084.27</v>
      </c>
    </row>
    <row r="36" spans="1:9">
      <c r="A36" t="s">
        <v>16</v>
      </c>
      <c r="B36">
        <v>3</v>
      </c>
      <c r="C36" t="s">
        <v>28</v>
      </c>
      <c r="D36" t="s">
        <v>13</v>
      </c>
      <c r="E36" s="35">
        <v>84</v>
      </c>
      <c r="F36" s="36">
        <v>12683.14</v>
      </c>
      <c r="G36" s="36">
        <v>5039.3</v>
      </c>
      <c r="H36" s="36">
        <v>2644.41</v>
      </c>
      <c r="I36" s="36">
        <v>989.1</v>
      </c>
    </row>
    <row r="37" spans="1:9">
      <c r="A37" t="s">
        <v>16</v>
      </c>
      <c r="B37">
        <v>3</v>
      </c>
      <c r="C37" t="s">
        <v>29</v>
      </c>
      <c r="D37" t="s">
        <v>13</v>
      </c>
      <c r="E37" s="35">
        <v>60</v>
      </c>
      <c r="F37" s="36">
        <v>8938.39</v>
      </c>
      <c r="G37" s="36">
        <v>3507.11</v>
      </c>
      <c r="H37" s="36">
        <v>1848.55</v>
      </c>
      <c r="I37" s="36">
        <v>710.4</v>
      </c>
    </row>
    <row r="38" spans="1:9">
      <c r="A38" t="s">
        <v>17</v>
      </c>
      <c r="B38">
        <v>4</v>
      </c>
      <c r="C38" t="s">
        <v>26</v>
      </c>
      <c r="D38" t="s">
        <v>11</v>
      </c>
      <c r="E38" s="35">
        <v>2054</v>
      </c>
      <c r="F38" s="36">
        <v>92222.33</v>
      </c>
      <c r="G38" s="36">
        <v>40112.910000000003</v>
      </c>
      <c r="H38" s="36">
        <v>20590.2</v>
      </c>
      <c r="I38" s="36">
        <v>7413.18</v>
      </c>
    </row>
    <row r="39" spans="1:9">
      <c r="A39" t="s">
        <v>17</v>
      </c>
      <c r="B39">
        <v>4</v>
      </c>
      <c r="C39" t="s">
        <v>27</v>
      </c>
      <c r="D39" t="s">
        <v>11</v>
      </c>
      <c r="E39" s="35">
        <v>1288</v>
      </c>
      <c r="F39" s="36">
        <v>58223.42</v>
      </c>
      <c r="G39" s="36">
        <v>25825.35</v>
      </c>
      <c r="H39" s="36">
        <v>12823.21</v>
      </c>
      <c r="I39" s="36">
        <v>4791.96</v>
      </c>
    </row>
    <row r="40" spans="1:9">
      <c r="A40" t="s">
        <v>17</v>
      </c>
      <c r="B40">
        <v>4</v>
      </c>
      <c r="C40" t="s">
        <v>28</v>
      </c>
      <c r="D40" t="s">
        <v>11</v>
      </c>
      <c r="E40" s="35">
        <v>1213</v>
      </c>
      <c r="F40" s="36">
        <v>55284.15</v>
      </c>
      <c r="G40" s="36">
        <v>25139.200000000001</v>
      </c>
      <c r="H40" s="36">
        <v>11638.49</v>
      </c>
      <c r="I40" s="36">
        <v>4347.1899999999996</v>
      </c>
    </row>
    <row r="41" spans="1:9">
      <c r="A41" t="s">
        <v>17</v>
      </c>
      <c r="B41">
        <v>4</v>
      </c>
      <c r="C41" t="s">
        <v>29</v>
      </c>
      <c r="D41" t="s">
        <v>11</v>
      </c>
      <c r="E41" s="35">
        <v>834</v>
      </c>
      <c r="F41" s="36">
        <v>37426.379999999997</v>
      </c>
      <c r="G41" s="36">
        <v>16868.62</v>
      </c>
      <c r="H41" s="36">
        <v>8246.2000000000007</v>
      </c>
      <c r="I41" s="36">
        <v>3067.03</v>
      </c>
    </row>
    <row r="42" spans="1:9">
      <c r="A42" t="s">
        <v>17</v>
      </c>
      <c r="B42">
        <v>4</v>
      </c>
      <c r="C42" t="s">
        <v>26</v>
      </c>
      <c r="D42" t="s">
        <v>12</v>
      </c>
      <c r="E42" s="35">
        <v>242</v>
      </c>
      <c r="F42" s="36">
        <v>77072.639999999999</v>
      </c>
      <c r="G42" s="36">
        <v>32088.09</v>
      </c>
      <c r="H42" s="36">
        <v>17569</v>
      </c>
      <c r="I42" s="36">
        <v>6091.24</v>
      </c>
    </row>
    <row r="43" spans="1:9">
      <c r="A43" t="s">
        <v>17</v>
      </c>
      <c r="B43">
        <v>4</v>
      </c>
      <c r="C43" t="s">
        <v>27</v>
      </c>
      <c r="D43" t="s">
        <v>12</v>
      </c>
      <c r="E43" s="35">
        <v>156</v>
      </c>
      <c r="F43" s="36">
        <v>49232.26</v>
      </c>
      <c r="G43" s="36">
        <v>21454.36</v>
      </c>
      <c r="H43" s="36">
        <v>11566.08</v>
      </c>
      <c r="I43" s="36">
        <v>3893.55</v>
      </c>
    </row>
    <row r="44" spans="1:9">
      <c r="A44" t="s">
        <v>17</v>
      </c>
      <c r="B44">
        <v>4</v>
      </c>
      <c r="C44" t="s">
        <v>28</v>
      </c>
      <c r="D44" t="s">
        <v>12</v>
      </c>
      <c r="E44" s="35">
        <v>139</v>
      </c>
      <c r="F44" s="36">
        <v>44635.33</v>
      </c>
      <c r="G44" s="36">
        <v>19291.72</v>
      </c>
      <c r="H44" s="36">
        <v>10303.790000000001</v>
      </c>
      <c r="I44" s="36">
        <v>3663.69</v>
      </c>
    </row>
    <row r="45" spans="1:9">
      <c r="A45" t="s">
        <v>17</v>
      </c>
      <c r="B45">
        <v>4</v>
      </c>
      <c r="C45" t="s">
        <v>29</v>
      </c>
      <c r="D45" t="s">
        <v>12</v>
      </c>
      <c r="E45" s="35">
        <v>98</v>
      </c>
      <c r="F45" s="36">
        <v>31847.26</v>
      </c>
      <c r="G45" s="36">
        <v>13009.16</v>
      </c>
      <c r="H45" s="36">
        <v>7105.38</v>
      </c>
      <c r="I45" s="36">
        <v>2584.42</v>
      </c>
    </row>
    <row r="46" spans="1:9">
      <c r="A46" t="s">
        <v>17</v>
      </c>
      <c r="B46">
        <v>4</v>
      </c>
      <c r="C46" t="s">
        <v>26</v>
      </c>
      <c r="D46" t="s">
        <v>13</v>
      </c>
      <c r="E46" s="35">
        <v>152</v>
      </c>
      <c r="F46" s="36">
        <v>23098.62</v>
      </c>
      <c r="G46" s="36">
        <v>8945.7000000000007</v>
      </c>
      <c r="H46" s="36">
        <v>4845.3900000000003</v>
      </c>
      <c r="I46" s="36">
        <v>1832.84</v>
      </c>
    </row>
    <row r="47" spans="1:9">
      <c r="A47" t="s">
        <v>17</v>
      </c>
      <c r="B47">
        <v>4</v>
      </c>
      <c r="C47" t="s">
        <v>27</v>
      </c>
      <c r="D47" t="s">
        <v>13</v>
      </c>
      <c r="E47" s="35">
        <v>90</v>
      </c>
      <c r="F47" s="36">
        <v>13441.51</v>
      </c>
      <c r="G47" s="36">
        <v>5147.47</v>
      </c>
      <c r="H47" s="36">
        <v>2791.62</v>
      </c>
      <c r="I47" s="36">
        <v>1051.73</v>
      </c>
    </row>
    <row r="48" spans="1:9">
      <c r="A48" t="s">
        <v>17</v>
      </c>
      <c r="B48">
        <v>4</v>
      </c>
      <c r="C48" t="s">
        <v>28</v>
      </c>
      <c r="D48" t="s">
        <v>13</v>
      </c>
      <c r="E48" s="35">
        <v>86</v>
      </c>
      <c r="F48" s="36">
        <v>12731.11</v>
      </c>
      <c r="G48" s="36">
        <v>4926.0600000000004</v>
      </c>
      <c r="H48" s="36">
        <v>2642.01</v>
      </c>
      <c r="I48" s="36">
        <v>993.33</v>
      </c>
    </row>
    <row r="49" spans="1:9">
      <c r="A49" t="s">
        <v>17</v>
      </c>
      <c r="B49">
        <v>4</v>
      </c>
      <c r="C49" t="s">
        <v>29</v>
      </c>
      <c r="D49" t="s">
        <v>13</v>
      </c>
      <c r="E49" s="35">
        <v>61</v>
      </c>
      <c r="F49" s="36">
        <v>9103.5</v>
      </c>
      <c r="G49" s="36">
        <v>3615.42</v>
      </c>
      <c r="H49" s="36">
        <v>1916.54</v>
      </c>
      <c r="I49" s="36">
        <v>737.94</v>
      </c>
    </row>
    <row r="50" spans="1:9">
      <c r="A50" t="s">
        <v>18</v>
      </c>
      <c r="B50">
        <v>5</v>
      </c>
      <c r="C50" t="s">
        <v>26</v>
      </c>
      <c r="D50" t="s">
        <v>11</v>
      </c>
      <c r="E50" s="35">
        <v>1995</v>
      </c>
      <c r="F50" s="36">
        <v>89868.52</v>
      </c>
      <c r="G50" s="36">
        <v>40594.57</v>
      </c>
      <c r="H50" s="36">
        <v>19100.259999999998</v>
      </c>
      <c r="I50" s="36">
        <v>6974.74</v>
      </c>
    </row>
    <row r="51" spans="1:9">
      <c r="A51" t="s">
        <v>18</v>
      </c>
      <c r="B51">
        <v>5</v>
      </c>
      <c r="C51" t="s">
        <v>27</v>
      </c>
      <c r="D51" t="s">
        <v>11</v>
      </c>
      <c r="E51" s="35">
        <v>1300</v>
      </c>
      <c r="F51" s="36">
        <v>59563.6</v>
      </c>
      <c r="G51" s="36">
        <v>25370.73</v>
      </c>
      <c r="H51" s="36">
        <v>12725.89</v>
      </c>
      <c r="I51" s="36">
        <v>4656.8900000000003</v>
      </c>
    </row>
    <row r="52" spans="1:9">
      <c r="A52" t="s">
        <v>18</v>
      </c>
      <c r="B52">
        <v>5</v>
      </c>
      <c r="C52" t="s">
        <v>28</v>
      </c>
      <c r="D52" t="s">
        <v>11</v>
      </c>
      <c r="E52" s="35">
        <v>1220</v>
      </c>
      <c r="F52" s="36">
        <v>53823.8</v>
      </c>
      <c r="G52" s="36">
        <v>24151.759999999998</v>
      </c>
      <c r="H52" s="36">
        <v>11750.58</v>
      </c>
      <c r="I52" s="36">
        <v>4411.2</v>
      </c>
    </row>
    <row r="53" spans="1:9">
      <c r="A53" t="s">
        <v>18</v>
      </c>
      <c r="B53">
        <v>5</v>
      </c>
      <c r="C53" t="s">
        <v>29</v>
      </c>
      <c r="D53" t="s">
        <v>11</v>
      </c>
      <c r="E53" s="35">
        <v>877</v>
      </c>
      <c r="F53" s="36">
        <v>39198.199999999997</v>
      </c>
      <c r="G53" s="36">
        <v>17262.650000000001</v>
      </c>
      <c r="H53" s="36">
        <v>8752.7199999999993</v>
      </c>
      <c r="I53" s="36">
        <v>3105.16</v>
      </c>
    </row>
    <row r="54" spans="1:9">
      <c r="A54" t="s">
        <v>18</v>
      </c>
      <c r="B54">
        <v>5</v>
      </c>
      <c r="C54" t="s">
        <v>26</v>
      </c>
      <c r="D54" t="s">
        <v>12</v>
      </c>
      <c r="E54" s="35">
        <v>236</v>
      </c>
      <c r="F54" s="36">
        <v>74440.009999999995</v>
      </c>
      <c r="G54" s="36">
        <v>31390.7</v>
      </c>
      <c r="H54" s="36">
        <v>17200.099999999999</v>
      </c>
      <c r="I54" s="36">
        <v>5954.4</v>
      </c>
    </row>
    <row r="55" spans="1:9">
      <c r="A55" t="s">
        <v>18</v>
      </c>
      <c r="B55">
        <v>5</v>
      </c>
      <c r="C55" t="s">
        <v>27</v>
      </c>
      <c r="D55" t="s">
        <v>12</v>
      </c>
      <c r="E55" s="35">
        <v>153</v>
      </c>
      <c r="F55" s="36">
        <v>49024.81</v>
      </c>
      <c r="G55" s="36">
        <v>21070.46</v>
      </c>
      <c r="H55" s="36">
        <v>11248.94</v>
      </c>
      <c r="I55" s="36">
        <v>4033.19</v>
      </c>
    </row>
    <row r="56" spans="1:9">
      <c r="A56" t="s">
        <v>18</v>
      </c>
      <c r="B56">
        <v>5</v>
      </c>
      <c r="C56" t="s">
        <v>28</v>
      </c>
      <c r="D56" t="s">
        <v>12</v>
      </c>
      <c r="E56" s="35">
        <v>144</v>
      </c>
      <c r="F56" s="36">
        <v>45999.21</v>
      </c>
      <c r="G56" s="36">
        <v>19311.57</v>
      </c>
      <c r="H56" s="36">
        <v>10667.26</v>
      </c>
      <c r="I56" s="36">
        <v>3639.75</v>
      </c>
    </row>
    <row r="57" spans="1:9">
      <c r="A57" t="s">
        <v>18</v>
      </c>
      <c r="B57">
        <v>5</v>
      </c>
      <c r="C57" t="s">
        <v>29</v>
      </c>
      <c r="D57" t="s">
        <v>12</v>
      </c>
      <c r="E57" s="35">
        <v>105</v>
      </c>
      <c r="F57" s="36">
        <v>33134.47</v>
      </c>
      <c r="G57" s="36">
        <v>14440.14</v>
      </c>
      <c r="H57" s="36">
        <v>7794.58</v>
      </c>
      <c r="I57" s="36">
        <v>2591.7199999999998</v>
      </c>
    </row>
    <row r="58" spans="1:9">
      <c r="A58" t="s">
        <v>18</v>
      </c>
      <c r="B58">
        <v>5</v>
      </c>
      <c r="C58" t="s">
        <v>26</v>
      </c>
      <c r="D58" t="s">
        <v>13</v>
      </c>
      <c r="E58" s="35">
        <v>154</v>
      </c>
      <c r="F58" s="36">
        <v>22929.82</v>
      </c>
      <c r="G58" s="36">
        <v>9054.5300000000007</v>
      </c>
      <c r="H58" s="36">
        <v>4903.2700000000004</v>
      </c>
      <c r="I58" s="36">
        <v>1867.22</v>
      </c>
    </row>
    <row r="59" spans="1:9">
      <c r="A59" t="s">
        <v>18</v>
      </c>
      <c r="B59">
        <v>5</v>
      </c>
      <c r="C59" t="s">
        <v>27</v>
      </c>
      <c r="D59" t="s">
        <v>13</v>
      </c>
      <c r="E59" s="35">
        <v>92</v>
      </c>
      <c r="F59" s="36">
        <v>13716.49</v>
      </c>
      <c r="G59" s="36">
        <v>5297.41</v>
      </c>
      <c r="H59" s="36">
        <v>2945.98</v>
      </c>
      <c r="I59" s="36">
        <v>1125.3499999999999</v>
      </c>
    </row>
    <row r="60" spans="1:9">
      <c r="A60" t="s">
        <v>18</v>
      </c>
      <c r="B60">
        <v>5</v>
      </c>
      <c r="C60" t="s">
        <v>28</v>
      </c>
      <c r="D60" t="s">
        <v>13</v>
      </c>
      <c r="E60" s="35">
        <v>87</v>
      </c>
      <c r="F60" s="36">
        <v>12845.81</v>
      </c>
      <c r="G60" s="36">
        <v>5001.34</v>
      </c>
      <c r="H60" s="36">
        <v>2724.32</v>
      </c>
      <c r="I60" s="36">
        <v>1016.68</v>
      </c>
    </row>
    <row r="61" spans="1:9">
      <c r="A61" t="s">
        <v>18</v>
      </c>
      <c r="B61">
        <v>5</v>
      </c>
      <c r="C61" t="s">
        <v>29</v>
      </c>
      <c r="D61" t="s">
        <v>13</v>
      </c>
      <c r="E61" s="35">
        <v>64</v>
      </c>
      <c r="F61" s="36">
        <v>9609.89</v>
      </c>
      <c r="G61" s="36">
        <v>3710.25</v>
      </c>
      <c r="H61" s="36">
        <v>1984.48</v>
      </c>
      <c r="I61" s="36">
        <v>788.89</v>
      </c>
    </row>
    <row r="62" spans="1:9">
      <c r="A62" t="s">
        <v>19</v>
      </c>
      <c r="B62">
        <v>6</v>
      </c>
      <c r="C62" t="s">
        <v>26</v>
      </c>
      <c r="D62" t="s">
        <v>11</v>
      </c>
      <c r="E62" s="35">
        <v>2141</v>
      </c>
      <c r="F62" s="36">
        <v>95446.18</v>
      </c>
      <c r="G62" s="36">
        <v>42559.44</v>
      </c>
      <c r="H62" s="36">
        <v>20744.830000000002</v>
      </c>
      <c r="I62" s="36">
        <v>7694.14</v>
      </c>
    </row>
    <row r="63" spans="1:9">
      <c r="A63" t="s">
        <v>19</v>
      </c>
      <c r="B63">
        <v>6</v>
      </c>
      <c r="C63" t="s">
        <v>27</v>
      </c>
      <c r="D63" t="s">
        <v>11</v>
      </c>
      <c r="E63" s="35">
        <v>1336</v>
      </c>
      <c r="F63" s="36">
        <v>60592.07</v>
      </c>
      <c r="G63" s="36">
        <v>26320.39</v>
      </c>
      <c r="H63" s="36">
        <v>13161.14</v>
      </c>
      <c r="I63" s="36">
        <v>4796.6000000000004</v>
      </c>
    </row>
    <row r="64" spans="1:9">
      <c r="A64" t="s">
        <v>19</v>
      </c>
      <c r="B64">
        <v>6</v>
      </c>
      <c r="C64" t="s">
        <v>28</v>
      </c>
      <c r="D64" t="s">
        <v>11</v>
      </c>
      <c r="E64" s="35">
        <v>1192</v>
      </c>
      <c r="F64" s="36">
        <v>52763.22</v>
      </c>
      <c r="G64" s="36">
        <v>25121.1</v>
      </c>
      <c r="H64" s="36">
        <v>11813.29</v>
      </c>
      <c r="I64" s="36">
        <v>4109.66</v>
      </c>
    </row>
    <row r="65" spans="1:9">
      <c r="A65" t="s">
        <v>19</v>
      </c>
      <c r="B65">
        <v>6</v>
      </c>
      <c r="C65" t="s">
        <v>29</v>
      </c>
      <c r="D65" t="s">
        <v>11</v>
      </c>
      <c r="E65" s="35">
        <v>866</v>
      </c>
      <c r="F65" s="36">
        <v>38476.800000000003</v>
      </c>
      <c r="G65" s="36">
        <v>17675.59</v>
      </c>
      <c r="H65" s="36">
        <v>8357.94</v>
      </c>
      <c r="I65" s="36">
        <v>3042.99</v>
      </c>
    </row>
    <row r="66" spans="1:9">
      <c r="A66" t="s">
        <v>19</v>
      </c>
      <c r="B66">
        <v>6</v>
      </c>
      <c r="C66" t="s">
        <v>26</v>
      </c>
      <c r="D66" t="s">
        <v>12</v>
      </c>
      <c r="E66" s="35">
        <v>251</v>
      </c>
      <c r="F66" s="36">
        <v>78868.87</v>
      </c>
      <c r="G66" s="36">
        <v>34243.120000000003</v>
      </c>
      <c r="H66" s="36">
        <v>18361.12</v>
      </c>
      <c r="I66" s="36">
        <v>6166.96</v>
      </c>
    </row>
    <row r="67" spans="1:9">
      <c r="A67" t="s">
        <v>19</v>
      </c>
      <c r="B67">
        <v>6</v>
      </c>
      <c r="C67" t="s">
        <v>27</v>
      </c>
      <c r="D67" t="s">
        <v>12</v>
      </c>
      <c r="E67" s="35">
        <v>152</v>
      </c>
      <c r="F67" s="36">
        <v>49352.26</v>
      </c>
      <c r="G67" s="36">
        <v>20493.259999999998</v>
      </c>
      <c r="H67" s="36">
        <v>11024.61</v>
      </c>
      <c r="I67" s="36">
        <v>3922.64</v>
      </c>
    </row>
    <row r="68" spans="1:9">
      <c r="A68" t="s">
        <v>19</v>
      </c>
      <c r="B68">
        <v>6</v>
      </c>
      <c r="C68" t="s">
        <v>28</v>
      </c>
      <c r="D68" t="s">
        <v>12</v>
      </c>
      <c r="E68" s="35">
        <v>146</v>
      </c>
      <c r="F68" s="36">
        <v>47498.6</v>
      </c>
      <c r="G68" s="36">
        <v>19414.669999999998</v>
      </c>
      <c r="H68" s="36">
        <v>10535.27</v>
      </c>
      <c r="I68" s="36">
        <v>3878.74</v>
      </c>
    </row>
    <row r="69" spans="1:9">
      <c r="A69" t="s">
        <v>19</v>
      </c>
      <c r="B69">
        <v>6</v>
      </c>
      <c r="C69" t="s">
        <v>29</v>
      </c>
      <c r="D69" t="s">
        <v>12</v>
      </c>
      <c r="E69" s="35">
        <v>108</v>
      </c>
      <c r="F69" s="36">
        <v>34525.89</v>
      </c>
      <c r="G69" s="36">
        <v>14740.41</v>
      </c>
      <c r="H69" s="36">
        <v>7878.62</v>
      </c>
      <c r="I69" s="36">
        <v>2777.44</v>
      </c>
    </row>
    <row r="70" spans="1:9">
      <c r="A70" t="s">
        <v>19</v>
      </c>
      <c r="B70">
        <v>6</v>
      </c>
      <c r="C70" t="s">
        <v>26</v>
      </c>
      <c r="D70" t="s">
        <v>13</v>
      </c>
      <c r="E70" s="35">
        <v>150</v>
      </c>
      <c r="F70" s="36">
        <v>22653.26</v>
      </c>
      <c r="G70" s="36">
        <v>8773.09</v>
      </c>
      <c r="H70" s="36">
        <v>4825.79</v>
      </c>
      <c r="I70" s="36">
        <v>1774.15</v>
      </c>
    </row>
    <row r="71" spans="1:9">
      <c r="A71" t="s">
        <v>19</v>
      </c>
      <c r="B71">
        <v>6</v>
      </c>
      <c r="C71" t="s">
        <v>27</v>
      </c>
      <c r="D71" t="s">
        <v>13</v>
      </c>
      <c r="E71" s="35">
        <v>93</v>
      </c>
      <c r="F71" s="36">
        <v>13797.28</v>
      </c>
      <c r="G71" s="36">
        <v>5494.35</v>
      </c>
      <c r="H71" s="36">
        <v>2926.67</v>
      </c>
      <c r="I71" s="36">
        <v>1123.02</v>
      </c>
    </row>
    <row r="72" spans="1:9">
      <c r="A72" t="s">
        <v>19</v>
      </c>
      <c r="B72">
        <v>6</v>
      </c>
      <c r="C72" t="s">
        <v>28</v>
      </c>
      <c r="D72" t="s">
        <v>13</v>
      </c>
      <c r="E72" s="35">
        <v>85</v>
      </c>
      <c r="F72" s="36">
        <v>12516.3</v>
      </c>
      <c r="G72" s="36">
        <v>5042.74</v>
      </c>
      <c r="H72" s="36">
        <v>2726.15</v>
      </c>
      <c r="I72" s="36">
        <v>979.29</v>
      </c>
    </row>
    <row r="73" spans="1:9">
      <c r="A73" t="s">
        <v>19</v>
      </c>
      <c r="B73">
        <v>6</v>
      </c>
      <c r="C73" t="s">
        <v>29</v>
      </c>
      <c r="D73" t="s">
        <v>13</v>
      </c>
      <c r="E73" s="35">
        <v>62</v>
      </c>
      <c r="F73" s="36">
        <v>9202.6299999999992</v>
      </c>
      <c r="G73" s="36">
        <v>3695.34</v>
      </c>
      <c r="H73" s="36">
        <v>1997.41</v>
      </c>
      <c r="I73" s="36">
        <v>747.99</v>
      </c>
    </row>
    <row r="74" spans="1:9">
      <c r="A74" t="s">
        <v>20</v>
      </c>
      <c r="B74">
        <v>7</v>
      </c>
      <c r="C74" t="s">
        <v>26</v>
      </c>
      <c r="D74" t="s">
        <v>11</v>
      </c>
      <c r="E74" s="35">
        <v>1919</v>
      </c>
      <c r="F74" s="36">
        <v>85800.05</v>
      </c>
      <c r="G74" s="36">
        <v>35792.129999999997</v>
      </c>
      <c r="H74" s="36">
        <v>19090.84</v>
      </c>
      <c r="I74" s="36">
        <v>6918.88</v>
      </c>
    </row>
    <row r="75" spans="1:9">
      <c r="A75" t="s">
        <v>20</v>
      </c>
      <c r="B75">
        <v>7</v>
      </c>
      <c r="C75" t="s">
        <v>27</v>
      </c>
      <c r="D75" t="s">
        <v>11</v>
      </c>
      <c r="E75" s="35">
        <v>1202</v>
      </c>
      <c r="F75" s="36">
        <v>54201.73</v>
      </c>
      <c r="G75" s="36">
        <v>21882.880000000001</v>
      </c>
      <c r="H75" s="36">
        <v>12029.32</v>
      </c>
      <c r="I75" s="36">
        <v>4309.76</v>
      </c>
    </row>
    <row r="76" spans="1:9">
      <c r="A76" t="s">
        <v>20</v>
      </c>
      <c r="B76">
        <v>7</v>
      </c>
      <c r="C76" t="s">
        <v>28</v>
      </c>
      <c r="D76" t="s">
        <v>11</v>
      </c>
      <c r="E76" s="35">
        <v>1095</v>
      </c>
      <c r="F76" s="36">
        <v>48555.18</v>
      </c>
      <c r="G76" s="36">
        <v>20477.46</v>
      </c>
      <c r="H76" s="36">
        <v>10484.450000000001</v>
      </c>
      <c r="I76" s="36">
        <v>3885.01</v>
      </c>
    </row>
    <row r="77" spans="1:9">
      <c r="A77" t="s">
        <v>20</v>
      </c>
      <c r="B77">
        <v>7</v>
      </c>
      <c r="C77" t="s">
        <v>29</v>
      </c>
      <c r="D77" t="s">
        <v>11</v>
      </c>
      <c r="E77" s="35">
        <v>672</v>
      </c>
      <c r="F77" s="36">
        <v>29757.23</v>
      </c>
      <c r="G77" s="36">
        <v>12435.51</v>
      </c>
      <c r="H77" s="36">
        <v>6444.7</v>
      </c>
      <c r="I77" s="36">
        <v>2368.5</v>
      </c>
    </row>
    <row r="78" spans="1:9">
      <c r="A78" t="s">
        <v>20</v>
      </c>
      <c r="B78">
        <v>7</v>
      </c>
      <c r="C78" t="s">
        <v>26</v>
      </c>
      <c r="D78" t="s">
        <v>12</v>
      </c>
      <c r="E78" s="35">
        <v>229</v>
      </c>
      <c r="F78" s="36">
        <v>72349</v>
      </c>
      <c r="G78" s="36">
        <v>32080.93</v>
      </c>
      <c r="H78" s="36">
        <v>16526.22</v>
      </c>
      <c r="I78" s="36">
        <v>5717.08</v>
      </c>
    </row>
    <row r="79" spans="1:9">
      <c r="A79" t="s">
        <v>20</v>
      </c>
      <c r="B79">
        <v>7</v>
      </c>
      <c r="C79" t="s">
        <v>27</v>
      </c>
      <c r="D79" t="s">
        <v>12</v>
      </c>
      <c r="E79" s="35">
        <v>140</v>
      </c>
      <c r="F79" s="36">
        <v>45237.9</v>
      </c>
      <c r="G79" s="36">
        <v>18608.13</v>
      </c>
      <c r="H79" s="36">
        <v>10236.85</v>
      </c>
      <c r="I79" s="36">
        <v>3562.6</v>
      </c>
    </row>
    <row r="80" spans="1:9">
      <c r="A80" t="s">
        <v>20</v>
      </c>
      <c r="B80">
        <v>7</v>
      </c>
      <c r="C80" t="s">
        <v>28</v>
      </c>
      <c r="D80" t="s">
        <v>12</v>
      </c>
      <c r="E80" s="35">
        <v>134</v>
      </c>
      <c r="F80" s="36">
        <v>42163.99</v>
      </c>
      <c r="G80" s="36">
        <v>17828.29</v>
      </c>
      <c r="H80" s="36">
        <v>10084.24</v>
      </c>
      <c r="I80" s="36">
        <v>3416.86</v>
      </c>
    </row>
    <row r="81" spans="1:9">
      <c r="A81" t="s">
        <v>20</v>
      </c>
      <c r="B81">
        <v>7</v>
      </c>
      <c r="C81" t="s">
        <v>29</v>
      </c>
      <c r="D81" t="s">
        <v>12</v>
      </c>
      <c r="E81" s="35">
        <v>76</v>
      </c>
      <c r="F81" s="36">
        <v>24079.71</v>
      </c>
      <c r="G81" s="36">
        <v>10301.799999999999</v>
      </c>
      <c r="H81" s="36">
        <v>5485.25</v>
      </c>
      <c r="I81" s="36">
        <v>1963.69</v>
      </c>
    </row>
    <row r="82" spans="1:9">
      <c r="A82" t="s">
        <v>20</v>
      </c>
      <c r="B82">
        <v>7</v>
      </c>
      <c r="C82" t="s">
        <v>26</v>
      </c>
      <c r="D82" t="s">
        <v>13</v>
      </c>
      <c r="E82" s="35">
        <v>136</v>
      </c>
      <c r="F82" s="36">
        <v>20536.79</v>
      </c>
      <c r="G82" s="36">
        <v>7906.55</v>
      </c>
      <c r="H82" s="36">
        <v>4364.03</v>
      </c>
      <c r="I82" s="36">
        <v>1662.27</v>
      </c>
    </row>
    <row r="83" spans="1:9">
      <c r="A83" t="s">
        <v>20</v>
      </c>
      <c r="B83">
        <v>7</v>
      </c>
      <c r="C83" t="s">
        <v>27</v>
      </c>
      <c r="D83" t="s">
        <v>13</v>
      </c>
      <c r="E83" s="35">
        <v>89</v>
      </c>
      <c r="F83" s="36">
        <v>13574.94</v>
      </c>
      <c r="G83" s="36">
        <v>5205.22</v>
      </c>
      <c r="H83" s="36">
        <v>2742.64</v>
      </c>
      <c r="I83" s="36">
        <v>1080.05</v>
      </c>
    </row>
    <row r="84" spans="1:9">
      <c r="A84" t="s">
        <v>20</v>
      </c>
      <c r="B84">
        <v>7</v>
      </c>
      <c r="C84" t="s">
        <v>28</v>
      </c>
      <c r="D84" t="s">
        <v>13</v>
      </c>
      <c r="E84" s="35">
        <v>78</v>
      </c>
      <c r="F84" s="36">
        <v>11698.25</v>
      </c>
      <c r="G84" s="36">
        <v>4640.7700000000004</v>
      </c>
      <c r="H84" s="36">
        <v>2489.5100000000002</v>
      </c>
      <c r="I84" s="36">
        <v>914.7</v>
      </c>
    </row>
    <row r="85" spans="1:9">
      <c r="A85" t="s">
        <v>20</v>
      </c>
      <c r="B85">
        <v>7</v>
      </c>
      <c r="C85" t="s">
        <v>29</v>
      </c>
      <c r="D85" t="s">
        <v>13</v>
      </c>
      <c r="E85" s="35">
        <v>44</v>
      </c>
      <c r="F85" s="36">
        <v>6641.54</v>
      </c>
      <c r="G85" s="36">
        <v>2624.61</v>
      </c>
      <c r="H85" s="36">
        <v>1379.44</v>
      </c>
      <c r="I85" s="36">
        <v>519.27</v>
      </c>
    </row>
    <row r="86" spans="1:9">
      <c r="A86" t="s">
        <v>21</v>
      </c>
      <c r="B86">
        <v>8</v>
      </c>
      <c r="C86" t="s">
        <v>26</v>
      </c>
      <c r="D86" t="s">
        <v>11</v>
      </c>
      <c r="E86" s="35">
        <v>1126</v>
      </c>
      <c r="F86" s="36">
        <v>51007.34</v>
      </c>
      <c r="G86" s="36">
        <v>20451.57</v>
      </c>
      <c r="H86" s="36">
        <v>10869.52</v>
      </c>
      <c r="I86" s="36">
        <v>3972.03</v>
      </c>
    </row>
    <row r="87" spans="1:9">
      <c r="A87" t="s">
        <v>21</v>
      </c>
      <c r="B87">
        <v>8</v>
      </c>
      <c r="C87" t="s">
        <v>27</v>
      </c>
      <c r="D87" t="s">
        <v>11</v>
      </c>
      <c r="E87" s="35">
        <v>680</v>
      </c>
      <c r="F87" s="36">
        <v>30481.39</v>
      </c>
      <c r="G87" s="36">
        <v>12307.25</v>
      </c>
      <c r="H87" s="36">
        <v>6718.32</v>
      </c>
      <c r="I87" s="36">
        <v>2460.29</v>
      </c>
    </row>
    <row r="88" spans="1:9">
      <c r="A88" t="s">
        <v>21</v>
      </c>
      <c r="B88">
        <v>8</v>
      </c>
      <c r="C88" t="s">
        <v>28</v>
      </c>
      <c r="D88" t="s">
        <v>11</v>
      </c>
      <c r="E88" s="35">
        <v>652</v>
      </c>
      <c r="F88" s="36">
        <v>29795.24</v>
      </c>
      <c r="G88" s="36">
        <v>11870.2</v>
      </c>
      <c r="H88" s="36">
        <v>6279.92</v>
      </c>
      <c r="I88" s="36">
        <v>2390.7600000000002</v>
      </c>
    </row>
    <row r="89" spans="1:9">
      <c r="A89" t="s">
        <v>21</v>
      </c>
      <c r="B89">
        <v>8</v>
      </c>
      <c r="C89" t="s">
        <v>29</v>
      </c>
      <c r="D89" t="s">
        <v>11</v>
      </c>
      <c r="E89" s="35">
        <v>447</v>
      </c>
      <c r="F89" s="36">
        <v>19877.13</v>
      </c>
      <c r="G89" s="36">
        <v>8289.31</v>
      </c>
      <c r="H89" s="36">
        <v>4462.59</v>
      </c>
      <c r="I89" s="36">
        <v>1620.42</v>
      </c>
    </row>
    <row r="90" spans="1:9">
      <c r="A90" t="s">
        <v>21</v>
      </c>
      <c r="B90">
        <v>8</v>
      </c>
      <c r="C90" t="s">
        <v>26</v>
      </c>
      <c r="D90" t="s">
        <v>12</v>
      </c>
      <c r="E90" s="35">
        <v>135</v>
      </c>
      <c r="F90" s="36">
        <v>42456.639999999999</v>
      </c>
      <c r="G90" s="36">
        <v>17946.21</v>
      </c>
      <c r="H90" s="36">
        <v>9996.0400000000009</v>
      </c>
      <c r="I90" s="36">
        <v>3489.94</v>
      </c>
    </row>
    <row r="91" spans="1:9">
      <c r="A91" t="s">
        <v>21</v>
      </c>
      <c r="B91">
        <v>8</v>
      </c>
      <c r="C91" t="s">
        <v>27</v>
      </c>
      <c r="D91" t="s">
        <v>12</v>
      </c>
      <c r="E91" s="35">
        <v>81</v>
      </c>
      <c r="F91" s="36">
        <v>25504.42</v>
      </c>
      <c r="G91" s="36">
        <v>10865.08</v>
      </c>
      <c r="H91" s="36">
        <v>6062.21</v>
      </c>
      <c r="I91" s="36">
        <v>1979.89</v>
      </c>
    </row>
    <row r="92" spans="1:9">
      <c r="A92" t="s">
        <v>21</v>
      </c>
      <c r="B92">
        <v>8</v>
      </c>
      <c r="C92" t="s">
        <v>28</v>
      </c>
      <c r="D92" t="s">
        <v>12</v>
      </c>
      <c r="E92" s="35">
        <v>72</v>
      </c>
      <c r="F92" s="36">
        <v>23329.32</v>
      </c>
      <c r="G92" s="36">
        <v>9717.77</v>
      </c>
      <c r="H92" s="36">
        <v>5404.1</v>
      </c>
      <c r="I92" s="36">
        <v>1895.37</v>
      </c>
    </row>
    <row r="93" spans="1:9">
      <c r="A93" t="s">
        <v>21</v>
      </c>
      <c r="B93">
        <v>8</v>
      </c>
      <c r="C93" t="s">
        <v>29</v>
      </c>
      <c r="D93" t="s">
        <v>12</v>
      </c>
      <c r="E93" s="35">
        <v>56</v>
      </c>
      <c r="F93" s="36">
        <v>17610.169999999998</v>
      </c>
      <c r="G93" s="36">
        <v>7677.24</v>
      </c>
      <c r="H93" s="36">
        <v>4075.58</v>
      </c>
      <c r="I93" s="36">
        <v>1368.25</v>
      </c>
    </row>
    <row r="94" spans="1:9">
      <c r="A94" t="s">
        <v>21</v>
      </c>
      <c r="B94">
        <v>8</v>
      </c>
      <c r="C94" t="s">
        <v>26</v>
      </c>
      <c r="D94" t="s">
        <v>13</v>
      </c>
      <c r="E94" s="35">
        <v>80</v>
      </c>
      <c r="F94" s="36">
        <v>12229.42</v>
      </c>
      <c r="G94" s="36">
        <v>4578.59</v>
      </c>
      <c r="H94" s="36">
        <v>2485.65</v>
      </c>
      <c r="I94" s="36">
        <v>951.26</v>
      </c>
    </row>
    <row r="95" spans="1:9">
      <c r="A95" t="s">
        <v>21</v>
      </c>
      <c r="B95">
        <v>8</v>
      </c>
      <c r="C95" t="s">
        <v>27</v>
      </c>
      <c r="D95" t="s">
        <v>13</v>
      </c>
      <c r="E95" s="35">
        <v>52</v>
      </c>
      <c r="F95" s="36">
        <v>7943.45</v>
      </c>
      <c r="G95" s="36">
        <v>3105</v>
      </c>
      <c r="H95" s="36">
        <v>1646.27</v>
      </c>
      <c r="I95" s="36">
        <v>618.82000000000005</v>
      </c>
    </row>
    <row r="96" spans="1:9">
      <c r="A96" t="s">
        <v>21</v>
      </c>
      <c r="B96">
        <v>8</v>
      </c>
      <c r="C96" t="s">
        <v>28</v>
      </c>
      <c r="D96" t="s">
        <v>13</v>
      </c>
      <c r="E96" s="35">
        <v>45</v>
      </c>
      <c r="F96" s="36">
        <v>6873.81</v>
      </c>
      <c r="G96" s="36">
        <v>2628.34</v>
      </c>
      <c r="H96" s="36">
        <v>1388.06</v>
      </c>
      <c r="I96" s="36">
        <v>533.42999999999995</v>
      </c>
    </row>
    <row r="97" spans="1:9">
      <c r="A97" t="s">
        <v>21</v>
      </c>
      <c r="B97">
        <v>8</v>
      </c>
      <c r="C97" t="s">
        <v>29</v>
      </c>
      <c r="D97" t="s">
        <v>13</v>
      </c>
      <c r="E97" s="35">
        <v>34</v>
      </c>
      <c r="F97" s="36">
        <v>5097.34</v>
      </c>
      <c r="G97" s="36">
        <v>2003.8</v>
      </c>
      <c r="H97" s="36">
        <v>1050.45</v>
      </c>
      <c r="I97" s="36">
        <v>410.79</v>
      </c>
    </row>
    <row r="98" spans="1:9">
      <c r="A98" t="s">
        <v>22</v>
      </c>
      <c r="B98">
        <v>9</v>
      </c>
      <c r="C98" t="s">
        <v>26</v>
      </c>
      <c r="D98" t="s">
        <v>11</v>
      </c>
      <c r="E98" s="35">
        <v>2054</v>
      </c>
      <c r="F98" s="36">
        <v>92738.25</v>
      </c>
      <c r="G98" s="36">
        <v>36551.53</v>
      </c>
      <c r="H98" s="36">
        <v>20604.45</v>
      </c>
      <c r="I98" s="36">
        <v>7504.42</v>
      </c>
    </row>
    <row r="99" spans="1:9">
      <c r="A99" t="s">
        <v>22</v>
      </c>
      <c r="B99">
        <v>9</v>
      </c>
      <c r="C99" t="s">
        <v>27</v>
      </c>
      <c r="D99" t="s">
        <v>11</v>
      </c>
      <c r="E99" s="35">
        <v>1258</v>
      </c>
      <c r="F99" s="36">
        <v>57126.66</v>
      </c>
      <c r="G99" s="36">
        <v>22891.01</v>
      </c>
      <c r="H99" s="36">
        <v>12533.95</v>
      </c>
      <c r="I99" s="36">
        <v>4567.9399999999996</v>
      </c>
    </row>
    <row r="100" spans="1:9">
      <c r="A100" t="s">
        <v>22</v>
      </c>
      <c r="B100">
        <v>9</v>
      </c>
      <c r="C100" t="s">
        <v>28</v>
      </c>
      <c r="D100" t="s">
        <v>11</v>
      </c>
      <c r="E100" s="35">
        <v>1157</v>
      </c>
      <c r="F100" s="36">
        <v>52603</v>
      </c>
      <c r="G100" s="36">
        <v>20554.63</v>
      </c>
      <c r="H100" s="36">
        <v>11531.09</v>
      </c>
      <c r="I100" s="36">
        <v>4244</v>
      </c>
    </row>
    <row r="101" spans="1:9">
      <c r="A101" t="s">
        <v>22</v>
      </c>
      <c r="B101">
        <v>9</v>
      </c>
      <c r="C101" t="s">
        <v>29</v>
      </c>
      <c r="D101" t="s">
        <v>11</v>
      </c>
      <c r="E101" s="35">
        <v>804</v>
      </c>
      <c r="F101" s="36">
        <v>36414.9</v>
      </c>
      <c r="G101" s="36">
        <v>14277.05</v>
      </c>
      <c r="H101" s="36">
        <v>7982.14</v>
      </c>
      <c r="I101" s="36">
        <v>2832.73</v>
      </c>
    </row>
    <row r="102" spans="1:9">
      <c r="A102" t="s">
        <v>22</v>
      </c>
      <c r="B102">
        <v>9</v>
      </c>
      <c r="C102" t="s">
        <v>26</v>
      </c>
      <c r="D102" t="s">
        <v>12</v>
      </c>
      <c r="E102" s="35">
        <v>236</v>
      </c>
      <c r="F102" s="36">
        <v>74542.03</v>
      </c>
      <c r="G102" s="36">
        <v>31659.81</v>
      </c>
      <c r="H102" s="36">
        <v>17219.36</v>
      </c>
      <c r="I102" s="36">
        <v>5875.84</v>
      </c>
    </row>
    <row r="103" spans="1:9">
      <c r="A103" t="s">
        <v>22</v>
      </c>
      <c r="B103">
        <v>9</v>
      </c>
      <c r="C103" t="s">
        <v>27</v>
      </c>
      <c r="D103" t="s">
        <v>12</v>
      </c>
      <c r="E103" s="35">
        <v>144</v>
      </c>
      <c r="F103" s="36">
        <v>45555.360000000001</v>
      </c>
      <c r="G103" s="36">
        <v>19367.57</v>
      </c>
      <c r="H103" s="36">
        <v>10672.84</v>
      </c>
      <c r="I103" s="36">
        <v>3640.66</v>
      </c>
    </row>
    <row r="104" spans="1:9">
      <c r="A104" t="s">
        <v>22</v>
      </c>
      <c r="B104">
        <v>9</v>
      </c>
      <c r="C104" t="s">
        <v>28</v>
      </c>
      <c r="D104" t="s">
        <v>12</v>
      </c>
      <c r="E104" s="35">
        <v>140</v>
      </c>
      <c r="F104" s="36">
        <v>44038.39</v>
      </c>
      <c r="G104" s="36">
        <v>19469.599999999999</v>
      </c>
      <c r="H104" s="36">
        <v>10445.209999999999</v>
      </c>
      <c r="I104" s="36">
        <v>3586.64</v>
      </c>
    </row>
    <row r="105" spans="1:9">
      <c r="A105" t="s">
        <v>22</v>
      </c>
      <c r="B105">
        <v>9</v>
      </c>
      <c r="C105" t="s">
        <v>29</v>
      </c>
      <c r="D105" t="s">
        <v>12</v>
      </c>
      <c r="E105" s="35">
        <v>99</v>
      </c>
      <c r="F105" s="36">
        <v>31924.85</v>
      </c>
      <c r="G105" s="36">
        <v>13303.63</v>
      </c>
      <c r="H105" s="36">
        <v>7394.04</v>
      </c>
      <c r="I105" s="36">
        <v>2499.17</v>
      </c>
    </row>
    <row r="106" spans="1:9">
      <c r="A106" t="s">
        <v>22</v>
      </c>
      <c r="B106">
        <v>9</v>
      </c>
      <c r="C106" t="s">
        <v>26</v>
      </c>
      <c r="D106" t="s">
        <v>13</v>
      </c>
      <c r="E106" s="35">
        <v>142</v>
      </c>
      <c r="F106" s="36">
        <v>20909.97</v>
      </c>
      <c r="G106" s="36">
        <v>8282.86</v>
      </c>
      <c r="H106" s="36">
        <v>4390.74</v>
      </c>
      <c r="I106" s="36">
        <v>1645.75</v>
      </c>
    </row>
    <row r="107" spans="1:9">
      <c r="A107" t="s">
        <v>22</v>
      </c>
      <c r="B107">
        <v>9</v>
      </c>
      <c r="C107" t="s">
        <v>27</v>
      </c>
      <c r="D107" t="s">
        <v>13</v>
      </c>
      <c r="E107" s="35">
        <v>92</v>
      </c>
      <c r="F107" s="36">
        <v>13716.28</v>
      </c>
      <c r="G107" s="36">
        <v>5529.43</v>
      </c>
      <c r="H107" s="36">
        <v>2966.98</v>
      </c>
      <c r="I107" s="36">
        <v>1122.8599999999999</v>
      </c>
    </row>
    <row r="108" spans="1:9">
      <c r="A108" t="s">
        <v>22</v>
      </c>
      <c r="B108">
        <v>9</v>
      </c>
      <c r="C108" t="s">
        <v>28</v>
      </c>
      <c r="D108" t="s">
        <v>13</v>
      </c>
      <c r="E108" s="35">
        <v>84</v>
      </c>
      <c r="F108" s="36">
        <v>12848.59</v>
      </c>
      <c r="G108" s="36">
        <v>4945.63</v>
      </c>
      <c r="H108" s="36">
        <v>2634.81</v>
      </c>
      <c r="I108" s="36">
        <v>1014.86</v>
      </c>
    </row>
    <row r="109" spans="1:9">
      <c r="A109" t="s">
        <v>22</v>
      </c>
      <c r="B109">
        <v>9</v>
      </c>
      <c r="C109" t="s">
        <v>29</v>
      </c>
      <c r="D109" t="s">
        <v>13</v>
      </c>
      <c r="E109" s="35">
        <v>62</v>
      </c>
      <c r="F109" s="36">
        <v>9183.1200000000008</v>
      </c>
      <c r="G109" s="36">
        <v>3613.37</v>
      </c>
      <c r="H109" s="36">
        <v>1923.6</v>
      </c>
      <c r="I109" s="36">
        <v>730.63</v>
      </c>
    </row>
    <row r="110" spans="1:9">
      <c r="A110" t="s">
        <v>23</v>
      </c>
      <c r="B110">
        <v>10</v>
      </c>
      <c r="C110" t="s">
        <v>26</v>
      </c>
      <c r="D110" t="s">
        <v>11</v>
      </c>
      <c r="E110" s="35">
        <v>2078</v>
      </c>
      <c r="F110" s="36">
        <v>93195.31</v>
      </c>
      <c r="G110" s="36">
        <v>38426.82</v>
      </c>
      <c r="H110" s="36">
        <v>20745.419999999998</v>
      </c>
      <c r="I110" s="36">
        <v>7301.9</v>
      </c>
    </row>
    <row r="111" spans="1:9">
      <c r="A111" t="s">
        <v>23</v>
      </c>
      <c r="B111">
        <v>10</v>
      </c>
      <c r="C111" t="s">
        <v>27</v>
      </c>
      <c r="D111" t="s">
        <v>11</v>
      </c>
      <c r="E111" s="35">
        <v>1334</v>
      </c>
      <c r="F111" s="36">
        <v>60480.79</v>
      </c>
      <c r="G111" s="36">
        <v>24282.18</v>
      </c>
      <c r="H111" s="36">
        <v>12806.34</v>
      </c>
      <c r="I111" s="36">
        <v>4890.9799999999996</v>
      </c>
    </row>
    <row r="112" spans="1:9">
      <c r="A112" t="s">
        <v>23</v>
      </c>
      <c r="B112">
        <v>10</v>
      </c>
      <c r="C112" t="s">
        <v>28</v>
      </c>
      <c r="D112" t="s">
        <v>11</v>
      </c>
      <c r="E112" s="35">
        <v>1225</v>
      </c>
      <c r="F112" s="36">
        <v>56036.02</v>
      </c>
      <c r="G112" s="36">
        <v>22480.67</v>
      </c>
      <c r="H112" s="36">
        <v>11757.62</v>
      </c>
      <c r="I112" s="36">
        <v>4544.71</v>
      </c>
    </row>
    <row r="113" spans="1:9">
      <c r="A113" t="s">
        <v>23</v>
      </c>
      <c r="B113">
        <v>10</v>
      </c>
      <c r="C113" t="s">
        <v>29</v>
      </c>
      <c r="D113" t="s">
        <v>11</v>
      </c>
      <c r="E113" s="35">
        <v>866</v>
      </c>
      <c r="F113" s="36">
        <v>38308.65</v>
      </c>
      <c r="G113" s="36">
        <v>16161.18</v>
      </c>
      <c r="H113" s="36">
        <v>8449.23</v>
      </c>
      <c r="I113" s="36">
        <v>3143.92</v>
      </c>
    </row>
    <row r="114" spans="1:9">
      <c r="A114" t="s">
        <v>23</v>
      </c>
      <c r="B114">
        <v>10</v>
      </c>
      <c r="C114" t="s">
        <v>26</v>
      </c>
      <c r="D114" t="s">
        <v>12</v>
      </c>
      <c r="E114" s="35">
        <v>257</v>
      </c>
      <c r="F114" s="36">
        <v>81188.89</v>
      </c>
      <c r="G114" s="36">
        <v>35515.65</v>
      </c>
      <c r="H114" s="36">
        <v>18900.64</v>
      </c>
      <c r="I114" s="36">
        <v>6379.33</v>
      </c>
    </row>
    <row r="115" spans="1:9">
      <c r="A115" t="s">
        <v>23</v>
      </c>
      <c r="B115">
        <v>10</v>
      </c>
      <c r="C115" t="s">
        <v>27</v>
      </c>
      <c r="D115" t="s">
        <v>12</v>
      </c>
      <c r="E115" s="35">
        <v>167</v>
      </c>
      <c r="F115" s="36">
        <v>52723.6</v>
      </c>
      <c r="G115" s="36">
        <v>22411.07</v>
      </c>
      <c r="H115" s="36">
        <v>12437.99</v>
      </c>
      <c r="I115" s="36">
        <v>4094.06</v>
      </c>
    </row>
    <row r="116" spans="1:9">
      <c r="A116" t="s">
        <v>23</v>
      </c>
      <c r="B116">
        <v>10</v>
      </c>
      <c r="C116" t="s">
        <v>28</v>
      </c>
      <c r="D116" t="s">
        <v>12</v>
      </c>
      <c r="E116" s="35">
        <v>152</v>
      </c>
      <c r="F116" s="36">
        <v>48234.65</v>
      </c>
      <c r="G116" s="36">
        <v>20662.29</v>
      </c>
      <c r="H116" s="36">
        <v>11196.04</v>
      </c>
      <c r="I116" s="36">
        <v>3839.76</v>
      </c>
    </row>
    <row r="117" spans="1:9">
      <c r="A117" t="s">
        <v>23</v>
      </c>
      <c r="B117">
        <v>10</v>
      </c>
      <c r="C117" t="s">
        <v>29</v>
      </c>
      <c r="D117" t="s">
        <v>12</v>
      </c>
      <c r="E117" s="35">
        <v>107</v>
      </c>
      <c r="F117" s="36">
        <v>34468.120000000003</v>
      </c>
      <c r="G117" s="36">
        <v>14319.01</v>
      </c>
      <c r="H117" s="36">
        <v>7775.94</v>
      </c>
      <c r="I117" s="36">
        <v>2810.24</v>
      </c>
    </row>
    <row r="118" spans="1:9">
      <c r="A118" t="s">
        <v>23</v>
      </c>
      <c r="B118">
        <v>10</v>
      </c>
      <c r="C118" t="s">
        <v>26</v>
      </c>
      <c r="D118" t="s">
        <v>13</v>
      </c>
      <c r="E118" s="35">
        <v>156</v>
      </c>
      <c r="F118" s="36">
        <v>23272.67</v>
      </c>
      <c r="G118" s="36">
        <v>8859.8799999999992</v>
      </c>
      <c r="H118" s="36">
        <v>5006.8500000000004</v>
      </c>
      <c r="I118" s="36">
        <v>1854.6</v>
      </c>
    </row>
    <row r="119" spans="1:9">
      <c r="A119" t="s">
        <v>23</v>
      </c>
      <c r="B119">
        <v>10</v>
      </c>
      <c r="C119" t="s">
        <v>27</v>
      </c>
      <c r="D119" t="s">
        <v>13</v>
      </c>
      <c r="E119" s="35">
        <v>98</v>
      </c>
      <c r="F119" s="36">
        <v>14450.8</v>
      </c>
      <c r="G119" s="36">
        <v>5738.4</v>
      </c>
      <c r="H119" s="36">
        <v>3029.07</v>
      </c>
      <c r="I119" s="36">
        <v>1149.1099999999999</v>
      </c>
    </row>
    <row r="120" spans="1:9">
      <c r="A120" t="s">
        <v>23</v>
      </c>
      <c r="B120">
        <v>10</v>
      </c>
      <c r="C120" t="s">
        <v>28</v>
      </c>
      <c r="D120" t="s">
        <v>13</v>
      </c>
      <c r="E120" s="35">
        <v>88</v>
      </c>
      <c r="F120" s="36">
        <v>13096.1</v>
      </c>
      <c r="G120" s="36">
        <v>5082.74</v>
      </c>
      <c r="H120" s="36">
        <v>2834.92</v>
      </c>
      <c r="I120" s="36">
        <v>1030.17</v>
      </c>
    </row>
    <row r="121" spans="1:9">
      <c r="A121" t="s">
        <v>23</v>
      </c>
      <c r="B121">
        <v>10</v>
      </c>
      <c r="C121" t="s">
        <v>29</v>
      </c>
      <c r="D121" t="s">
        <v>13</v>
      </c>
      <c r="E121" s="35">
        <v>64</v>
      </c>
      <c r="F121" s="36">
        <v>9730.3799999999992</v>
      </c>
      <c r="G121" s="36">
        <v>3780.08</v>
      </c>
      <c r="H121" s="36">
        <v>1986.44</v>
      </c>
      <c r="I121" s="36">
        <v>796.36</v>
      </c>
    </row>
    <row r="122" spans="1:9">
      <c r="A122" t="s">
        <v>24</v>
      </c>
      <c r="B122">
        <v>11</v>
      </c>
      <c r="C122" t="s">
        <v>26</v>
      </c>
      <c r="D122" t="s">
        <v>11</v>
      </c>
      <c r="E122" s="35">
        <v>2199</v>
      </c>
      <c r="F122" s="36">
        <v>97599.79</v>
      </c>
      <c r="G122" s="36">
        <v>40659.46</v>
      </c>
      <c r="H122" s="36">
        <v>21472.93</v>
      </c>
      <c r="I122" s="36">
        <v>7874.12</v>
      </c>
    </row>
    <row r="123" spans="1:9">
      <c r="A123" t="s">
        <v>24</v>
      </c>
      <c r="B123">
        <v>11</v>
      </c>
      <c r="C123" t="s">
        <v>27</v>
      </c>
      <c r="D123" t="s">
        <v>11</v>
      </c>
      <c r="E123" s="35">
        <v>1435</v>
      </c>
      <c r="F123" s="36">
        <v>65269.96</v>
      </c>
      <c r="G123" s="36">
        <v>25359.84</v>
      </c>
      <c r="H123" s="36">
        <v>13913.68</v>
      </c>
      <c r="I123" s="36">
        <v>5137.7700000000004</v>
      </c>
    </row>
    <row r="124" spans="1:9">
      <c r="A124" t="s">
        <v>24</v>
      </c>
      <c r="B124">
        <v>11</v>
      </c>
      <c r="C124" t="s">
        <v>28</v>
      </c>
      <c r="D124" t="s">
        <v>11</v>
      </c>
      <c r="E124" s="35">
        <v>1326</v>
      </c>
      <c r="F124" s="36">
        <v>59305.4</v>
      </c>
      <c r="G124" s="36">
        <v>24192.02</v>
      </c>
      <c r="H124" s="36">
        <v>12707.48</v>
      </c>
      <c r="I124" s="36">
        <v>4656.2</v>
      </c>
    </row>
    <row r="125" spans="1:9">
      <c r="A125" t="s">
        <v>24</v>
      </c>
      <c r="B125">
        <v>11</v>
      </c>
      <c r="C125" t="s">
        <v>29</v>
      </c>
      <c r="D125" t="s">
        <v>11</v>
      </c>
      <c r="E125" s="35">
        <v>958</v>
      </c>
      <c r="F125" s="36">
        <v>42908.72</v>
      </c>
      <c r="G125" s="36">
        <v>17896.66</v>
      </c>
      <c r="H125" s="36">
        <v>9241.86</v>
      </c>
      <c r="I125" s="36">
        <v>3453.88</v>
      </c>
    </row>
    <row r="126" spans="1:9">
      <c r="A126" t="s">
        <v>24</v>
      </c>
      <c r="B126">
        <v>11</v>
      </c>
      <c r="C126" t="s">
        <v>26</v>
      </c>
      <c r="D126" t="s">
        <v>12</v>
      </c>
      <c r="E126" s="35">
        <v>262</v>
      </c>
      <c r="F126" s="36">
        <v>82672.539999999994</v>
      </c>
      <c r="G126" s="36">
        <v>35380.879999999997</v>
      </c>
      <c r="H126" s="36">
        <v>18954.89</v>
      </c>
      <c r="I126" s="36">
        <v>6449.93</v>
      </c>
    </row>
    <row r="127" spans="1:9">
      <c r="A127" t="s">
        <v>24</v>
      </c>
      <c r="B127">
        <v>11</v>
      </c>
      <c r="C127" t="s">
        <v>27</v>
      </c>
      <c r="D127" t="s">
        <v>12</v>
      </c>
      <c r="E127" s="35">
        <v>162</v>
      </c>
      <c r="F127" s="36">
        <v>51444.44</v>
      </c>
      <c r="G127" s="36">
        <v>22646.23</v>
      </c>
      <c r="H127" s="36">
        <v>11665.94</v>
      </c>
      <c r="I127" s="36">
        <v>4021.59</v>
      </c>
    </row>
    <row r="128" spans="1:9">
      <c r="A128" t="s">
        <v>24</v>
      </c>
      <c r="B128">
        <v>11</v>
      </c>
      <c r="C128" t="s">
        <v>28</v>
      </c>
      <c r="D128" t="s">
        <v>12</v>
      </c>
      <c r="E128" s="35">
        <v>158</v>
      </c>
      <c r="F128" s="36">
        <v>49969.93</v>
      </c>
      <c r="G128" s="36">
        <v>21952.959999999999</v>
      </c>
      <c r="H128" s="36">
        <v>11814.14</v>
      </c>
      <c r="I128" s="36">
        <v>3989.63</v>
      </c>
    </row>
    <row r="129" spans="1:9">
      <c r="A129" t="s">
        <v>24</v>
      </c>
      <c r="B129">
        <v>11</v>
      </c>
      <c r="C129" t="s">
        <v>29</v>
      </c>
      <c r="D129" t="s">
        <v>12</v>
      </c>
      <c r="E129" s="35">
        <v>110</v>
      </c>
      <c r="F129" s="36">
        <v>35351.26</v>
      </c>
      <c r="G129" s="36">
        <v>14965.28</v>
      </c>
      <c r="H129" s="36">
        <v>7906.61</v>
      </c>
      <c r="I129" s="36">
        <v>2773.47</v>
      </c>
    </row>
    <row r="130" spans="1:9">
      <c r="A130" t="s">
        <v>24</v>
      </c>
      <c r="B130">
        <v>11</v>
      </c>
      <c r="C130" t="s">
        <v>26</v>
      </c>
      <c r="D130" t="s">
        <v>13</v>
      </c>
      <c r="E130" s="35">
        <v>157</v>
      </c>
      <c r="F130" s="36">
        <v>23881.39</v>
      </c>
      <c r="G130" s="36">
        <v>9373.09</v>
      </c>
      <c r="H130" s="36">
        <v>4936.78</v>
      </c>
      <c r="I130" s="36">
        <v>1887.67</v>
      </c>
    </row>
    <row r="131" spans="1:9">
      <c r="A131" t="s">
        <v>24</v>
      </c>
      <c r="B131">
        <v>11</v>
      </c>
      <c r="C131" t="s">
        <v>27</v>
      </c>
      <c r="D131" t="s">
        <v>13</v>
      </c>
      <c r="E131" s="35">
        <v>100</v>
      </c>
      <c r="F131" s="36">
        <v>15123.93</v>
      </c>
      <c r="G131" s="36">
        <v>5877.23</v>
      </c>
      <c r="H131" s="36">
        <v>3185.15</v>
      </c>
      <c r="I131" s="36">
        <v>1198.83</v>
      </c>
    </row>
    <row r="132" spans="1:9">
      <c r="A132" t="s">
        <v>24</v>
      </c>
      <c r="B132">
        <v>11</v>
      </c>
      <c r="C132" t="s">
        <v>28</v>
      </c>
      <c r="D132" t="s">
        <v>13</v>
      </c>
      <c r="E132" s="35">
        <v>97</v>
      </c>
      <c r="F132" s="36">
        <v>14400.15</v>
      </c>
      <c r="G132" s="36">
        <v>5708.87</v>
      </c>
      <c r="H132" s="36">
        <v>3089.28</v>
      </c>
      <c r="I132" s="36">
        <v>1121.26</v>
      </c>
    </row>
    <row r="133" spans="1:9">
      <c r="A133" t="s">
        <v>24</v>
      </c>
      <c r="B133">
        <v>11</v>
      </c>
      <c r="C133" t="s">
        <v>29</v>
      </c>
      <c r="D133" t="s">
        <v>13</v>
      </c>
      <c r="E133" s="35">
        <v>67</v>
      </c>
      <c r="F133" s="36">
        <v>10022.68</v>
      </c>
      <c r="G133" s="36">
        <v>3894.81</v>
      </c>
      <c r="H133" s="36">
        <v>2113.65</v>
      </c>
      <c r="I133" s="36">
        <v>814.92</v>
      </c>
    </row>
    <row r="134" spans="1:9">
      <c r="A134" t="s">
        <v>25</v>
      </c>
      <c r="B134">
        <v>12</v>
      </c>
      <c r="C134" t="s">
        <v>26</v>
      </c>
      <c r="D134" t="s">
        <v>11</v>
      </c>
      <c r="E134" s="35">
        <v>2419</v>
      </c>
      <c r="F134" s="36">
        <v>107995.01</v>
      </c>
      <c r="G134" s="36">
        <v>43793.77</v>
      </c>
      <c r="H134" s="36">
        <v>23390.53</v>
      </c>
      <c r="I134" s="36">
        <v>8459.65</v>
      </c>
    </row>
    <row r="135" spans="1:9">
      <c r="A135" t="s">
        <v>25</v>
      </c>
      <c r="B135">
        <v>12</v>
      </c>
      <c r="C135" t="s">
        <v>27</v>
      </c>
      <c r="D135" t="s">
        <v>11</v>
      </c>
      <c r="E135" s="35">
        <v>1532</v>
      </c>
      <c r="F135" s="36">
        <v>68734.45</v>
      </c>
      <c r="G135" s="36">
        <v>28379.43</v>
      </c>
      <c r="H135" s="36">
        <v>14757.46</v>
      </c>
      <c r="I135" s="36">
        <v>5419.8</v>
      </c>
    </row>
    <row r="136" spans="1:9">
      <c r="A136" t="s">
        <v>25</v>
      </c>
      <c r="B136">
        <v>12</v>
      </c>
      <c r="C136" t="s">
        <v>28</v>
      </c>
      <c r="D136" t="s">
        <v>11</v>
      </c>
      <c r="E136" s="35">
        <v>1408</v>
      </c>
      <c r="F136" s="36">
        <v>62645.81</v>
      </c>
      <c r="G136" s="36">
        <v>25288.12</v>
      </c>
      <c r="H136" s="36">
        <v>14060.81</v>
      </c>
      <c r="I136" s="36">
        <v>5020.8</v>
      </c>
    </row>
    <row r="137" spans="1:9">
      <c r="A137" t="s">
        <v>25</v>
      </c>
      <c r="B137">
        <v>12</v>
      </c>
      <c r="C137" t="s">
        <v>29</v>
      </c>
      <c r="D137" t="s">
        <v>11</v>
      </c>
      <c r="E137" s="35">
        <v>960</v>
      </c>
      <c r="F137" s="36">
        <v>42714.5</v>
      </c>
      <c r="G137" s="36">
        <v>17830.330000000002</v>
      </c>
      <c r="H137" s="36">
        <v>9546.74</v>
      </c>
      <c r="I137" s="36">
        <v>3477.18</v>
      </c>
    </row>
    <row r="138" spans="1:9">
      <c r="A138" t="s">
        <v>25</v>
      </c>
      <c r="B138">
        <v>12</v>
      </c>
      <c r="C138" t="s">
        <v>26</v>
      </c>
      <c r="D138" t="s">
        <v>12</v>
      </c>
      <c r="E138" s="35">
        <v>280</v>
      </c>
      <c r="F138" s="36">
        <v>88275.55</v>
      </c>
      <c r="G138" s="36">
        <v>38872.06</v>
      </c>
      <c r="H138" s="36">
        <v>20829.810000000001</v>
      </c>
      <c r="I138" s="36">
        <v>7204.17</v>
      </c>
    </row>
    <row r="139" spans="1:9">
      <c r="A139" t="s">
        <v>25</v>
      </c>
      <c r="B139">
        <v>12</v>
      </c>
      <c r="C139" t="s">
        <v>27</v>
      </c>
      <c r="D139" t="s">
        <v>12</v>
      </c>
      <c r="E139" s="35">
        <v>184</v>
      </c>
      <c r="F139" s="36">
        <v>59947.81</v>
      </c>
      <c r="G139" s="36">
        <v>24738.83</v>
      </c>
      <c r="H139" s="36">
        <v>13723.54</v>
      </c>
      <c r="I139" s="36">
        <v>4783.2</v>
      </c>
    </row>
    <row r="140" spans="1:9">
      <c r="A140" t="s">
        <v>25</v>
      </c>
      <c r="B140">
        <v>12</v>
      </c>
      <c r="C140" t="s">
        <v>28</v>
      </c>
      <c r="D140" t="s">
        <v>12</v>
      </c>
      <c r="E140" s="35">
        <v>160</v>
      </c>
      <c r="F140" s="36">
        <v>50196.33</v>
      </c>
      <c r="G140" s="36">
        <v>21544.240000000002</v>
      </c>
      <c r="H140" s="36">
        <v>11976.86</v>
      </c>
      <c r="I140" s="36">
        <v>3921.26</v>
      </c>
    </row>
    <row r="141" spans="1:9">
      <c r="A141" t="s">
        <v>25</v>
      </c>
      <c r="B141">
        <v>12</v>
      </c>
      <c r="C141" t="s">
        <v>29</v>
      </c>
      <c r="D141" t="s">
        <v>12</v>
      </c>
      <c r="E141" s="35">
        <v>119</v>
      </c>
      <c r="F141" s="36">
        <v>37594.58</v>
      </c>
      <c r="G141" s="36">
        <v>16707.77</v>
      </c>
      <c r="H141" s="36">
        <v>8828.43</v>
      </c>
      <c r="I141" s="36">
        <v>3018.93</v>
      </c>
    </row>
    <row r="142" spans="1:9">
      <c r="A142" t="s">
        <v>25</v>
      </c>
      <c r="B142">
        <v>12</v>
      </c>
      <c r="C142" t="s">
        <v>26</v>
      </c>
      <c r="D142" t="s">
        <v>13</v>
      </c>
      <c r="E142" s="35">
        <v>171</v>
      </c>
      <c r="F142" s="36">
        <v>25442.34</v>
      </c>
      <c r="G142" s="36">
        <v>10153.5</v>
      </c>
      <c r="H142" s="36">
        <v>5430.27</v>
      </c>
      <c r="I142" s="36">
        <v>1981.16</v>
      </c>
    </row>
    <row r="143" spans="1:9">
      <c r="A143" t="s">
        <v>25</v>
      </c>
      <c r="B143">
        <v>12</v>
      </c>
      <c r="C143" t="s">
        <v>27</v>
      </c>
      <c r="D143" t="s">
        <v>13</v>
      </c>
      <c r="E143" s="35">
        <v>111</v>
      </c>
      <c r="F143" s="36">
        <v>16588.95</v>
      </c>
      <c r="G143" s="36">
        <v>6522.2</v>
      </c>
      <c r="H143" s="36">
        <v>3517.04</v>
      </c>
      <c r="I143" s="36">
        <v>1317.82</v>
      </c>
    </row>
    <row r="144" spans="1:9">
      <c r="A144" t="s">
        <v>25</v>
      </c>
      <c r="B144">
        <v>12</v>
      </c>
      <c r="C144" t="s">
        <v>28</v>
      </c>
      <c r="D144" t="s">
        <v>13</v>
      </c>
      <c r="E144" s="35">
        <v>100</v>
      </c>
      <c r="F144" s="36">
        <v>14779.96</v>
      </c>
      <c r="G144" s="36">
        <v>5984.58</v>
      </c>
      <c r="H144" s="36">
        <v>3183.98</v>
      </c>
      <c r="I144" s="36">
        <v>1216.02</v>
      </c>
    </row>
    <row r="145" spans="1:9">
      <c r="A145" t="s">
        <v>25</v>
      </c>
      <c r="B145">
        <v>12</v>
      </c>
      <c r="C145" t="s">
        <v>29</v>
      </c>
      <c r="D145" t="s">
        <v>13</v>
      </c>
      <c r="E145" s="35">
        <v>74</v>
      </c>
      <c r="F145" s="36">
        <v>11176.65</v>
      </c>
      <c r="G145" s="36">
        <v>4219.55</v>
      </c>
      <c r="H145" s="36">
        <v>2279.2600000000002</v>
      </c>
      <c r="I145" s="36">
        <v>907.13</v>
      </c>
    </row>
  </sheetData>
  <dataValidations count="3">
    <dataValidation type="list" allowBlank="1" showInputMessage="1" showErrorMessage="1" sqref="A2:A145" xr:uid="{B0D9C2D9-0CC0-4271-AFD9-CCECC7658886}">
      <formula1>ListeMois</formula1>
    </dataValidation>
    <dataValidation type="list" allowBlank="1" showInputMessage="1" showErrorMessage="1" sqref="C2:C145" xr:uid="{B58696B3-A989-4835-9DD8-C3CB20411893}">
      <formula1>ListeRegions</formula1>
    </dataValidation>
    <dataValidation type="list" allowBlank="1" showInputMessage="1" showErrorMessage="1" sqref="D2:D145" xr:uid="{1E0DA9F8-1536-48D4-A9E4-19E5819D4B4C}">
      <formula1>ListeProduits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9CD69-DC10-4270-8A54-33D066E58185}">
  <dimension ref="A1:J289"/>
  <sheetViews>
    <sheetView workbookViewId="0">
      <selection activeCell="H24" sqref="H24"/>
    </sheetView>
  </sheetViews>
  <sheetFormatPr defaultRowHeight="14.4"/>
  <cols>
    <col min="2" max="2" width="7.33203125" bestFit="1" customWidth="1"/>
    <col min="4" max="4" width="11.44140625" bestFit="1" customWidth="1"/>
    <col min="6" max="6" width="7.109375" bestFit="1" customWidth="1"/>
    <col min="7" max="7" width="11" style="18" bestFit="1" customWidth="1"/>
    <col min="8" max="8" width="12.5546875" bestFit="1" customWidth="1"/>
    <col min="10" max="10" width="11.6640625" bestFit="1" customWidth="1"/>
  </cols>
  <sheetData>
    <row r="1" spans="1:10">
      <c r="A1" s="25" t="s">
        <v>0</v>
      </c>
      <c r="B1" s="25" t="s">
        <v>252</v>
      </c>
      <c r="C1" s="25" t="s">
        <v>2</v>
      </c>
      <c r="D1" s="25" t="s">
        <v>3</v>
      </c>
      <c r="E1" s="25" t="s">
        <v>42</v>
      </c>
      <c r="F1" s="25" t="s">
        <v>43</v>
      </c>
      <c r="G1" s="26" t="s">
        <v>44</v>
      </c>
      <c r="H1" s="25" t="s">
        <v>45</v>
      </c>
      <c r="I1" s="25" t="s">
        <v>46</v>
      </c>
      <c r="J1" s="25" t="s">
        <v>47</v>
      </c>
    </row>
    <row r="2" spans="1:10">
      <c r="A2" t="str">
        <f>BUDGET!A2</f>
        <v xml:space="preserve">Janvier </v>
      </c>
      <c r="B2" s="51" cm="1">
        <f t="array" ref="B2">_xlfn.SWITCH(TRIM(A2),"Janvier",1,"Février",2,"Mars",3,"Avril",4,"Mai",5,"Juin",6,"Juillet",7,"Août",8,"Septembre",9,"Octobre",10,"Novembre",11,"Décembre",12,NA())</f>
        <v>1</v>
      </c>
      <c r="C2" t="str">
        <f>BUDGET!C2</f>
        <v>IDF</v>
      </c>
      <c r="D2" t="str">
        <f>BUDGET!D2</f>
        <v>composants</v>
      </c>
      <c r="E2" t="s">
        <v>48</v>
      </c>
      <c r="F2" s="35">
        <f>BUDGET!E2</f>
        <v>1778</v>
      </c>
      <c r="G2" s="18">
        <f>BUDGET!F2</f>
        <v>80010</v>
      </c>
      <c r="H2" s="36">
        <f>BUDGET!G2</f>
        <v>32359.600000000002</v>
      </c>
      <c r="I2" s="36">
        <f>BUDGET!H2</f>
        <v>17424.399999999998</v>
      </c>
      <c r="J2" s="36">
        <f>BUDGET!I2</f>
        <v>6400.8</v>
      </c>
    </row>
    <row r="3" spans="1:10">
      <c r="A3" t="str">
        <f>BUDGET!A3</f>
        <v xml:space="preserve">Janvier </v>
      </c>
      <c r="B3" s="51" cm="1">
        <f t="array" ref="B3">_xlfn.SWITCH(TRIM(A3),"Janvier",1,"Février",2,"Mars",3,"Avril",4,"Mai",5,"Juin",6,"Juillet",7,"Août",8,"Septembre",9,"Octobre",10,"Novembre",11,"Décembre",12,NA())</f>
        <v>1</v>
      </c>
      <c r="C3" t="str">
        <f>BUDGET!C3</f>
        <v>Nord</v>
      </c>
      <c r="D3" t="str">
        <f>BUDGET!D3</f>
        <v>composants</v>
      </c>
      <c r="E3" t="s">
        <v>48</v>
      </c>
      <c r="F3" s="35">
        <f>BUDGET!E3</f>
        <v>1123</v>
      </c>
      <c r="G3" s="18">
        <f>BUDGET!F3</f>
        <v>50535</v>
      </c>
      <c r="H3" s="36">
        <f>BUDGET!G3</f>
        <v>20438.600000000002</v>
      </c>
      <c r="I3" s="36">
        <f>BUDGET!H3</f>
        <v>11005.4</v>
      </c>
      <c r="J3" s="36">
        <f>BUDGET!I3</f>
        <v>4042.8</v>
      </c>
    </row>
    <row r="4" spans="1:10">
      <c r="A4" t="str">
        <f>BUDGET!A4</f>
        <v xml:space="preserve">Janvier </v>
      </c>
      <c r="B4" s="51" cm="1">
        <f t="array" ref="B4">_xlfn.SWITCH(TRIM(A4),"Janvier",1,"Février",2,"Mars",3,"Avril",4,"Mai",5,"Juin",6,"Juillet",7,"Août",8,"Septembre",9,"Octobre",10,"Novembre",11,"Décembre",12,NA())</f>
        <v>1</v>
      </c>
      <c r="C4" t="str">
        <f>BUDGET!C4</f>
        <v>Sud</v>
      </c>
      <c r="D4" t="str">
        <f>BUDGET!D4</f>
        <v>composants</v>
      </c>
      <c r="E4" t="s">
        <v>48</v>
      </c>
      <c r="F4" s="35">
        <f>BUDGET!E4</f>
        <v>1030</v>
      </c>
      <c r="G4" s="18">
        <f>BUDGET!F4</f>
        <v>46350</v>
      </c>
      <c r="H4" s="36">
        <f>BUDGET!G4</f>
        <v>18746</v>
      </c>
      <c r="I4" s="36">
        <f>BUDGET!H4</f>
        <v>10094</v>
      </c>
      <c r="J4" s="36">
        <f>BUDGET!I4</f>
        <v>3708</v>
      </c>
    </row>
    <row r="5" spans="1:10">
      <c r="A5" t="str">
        <f>BUDGET!A5</f>
        <v xml:space="preserve">Janvier </v>
      </c>
      <c r="B5" s="51" cm="1">
        <f t="array" ref="B5">_xlfn.SWITCH(TRIM(A5),"Janvier",1,"Février",2,"Mars",3,"Avril",4,"Mai",5,"Juin",6,"Juillet",7,"Août",8,"Septembre",9,"Octobre",10,"Novembre",11,"Décembre",12,NA())</f>
        <v>1</v>
      </c>
      <c r="C5" t="str">
        <f>BUDGET!C5</f>
        <v>Export</v>
      </c>
      <c r="D5" t="str">
        <f>BUDGET!D5</f>
        <v>composants</v>
      </c>
      <c r="E5" t="s">
        <v>48</v>
      </c>
      <c r="F5" s="35">
        <f>BUDGET!E5</f>
        <v>749</v>
      </c>
      <c r="G5" s="18">
        <f>BUDGET!F5</f>
        <v>33705</v>
      </c>
      <c r="H5" s="36">
        <f>BUDGET!G5</f>
        <v>13631.800000000001</v>
      </c>
      <c r="I5" s="36">
        <f>BUDGET!H5</f>
        <v>7340.2</v>
      </c>
      <c r="J5" s="36">
        <f>BUDGET!I5</f>
        <v>2696.4</v>
      </c>
    </row>
    <row r="6" spans="1:10">
      <c r="A6" t="str">
        <f>BUDGET!A6</f>
        <v xml:space="preserve">Janvier </v>
      </c>
      <c r="B6" s="51" cm="1">
        <f t="array" ref="B6">_xlfn.SWITCH(TRIM(A6),"Janvier",1,"Février",2,"Mars",3,"Avril",4,"Mai",5,"Juin",6,"Juillet",7,"Août",8,"Septembre",9,"Octobre",10,"Novembre",11,"Décembre",12,NA())</f>
        <v>1</v>
      </c>
      <c r="C6" t="str">
        <f>BUDGET!C6</f>
        <v>IDF</v>
      </c>
      <c r="D6" t="str">
        <f>BUDGET!D6</f>
        <v>Equipements</v>
      </c>
      <c r="E6" t="s">
        <v>48</v>
      </c>
      <c r="F6" s="35">
        <f>BUDGET!E6</f>
        <v>212</v>
      </c>
      <c r="G6" s="18">
        <f>BUDGET!F6</f>
        <v>67840</v>
      </c>
      <c r="H6" s="36">
        <f>BUDGET!G6</f>
        <v>28938</v>
      </c>
      <c r="I6" s="36">
        <f>BUDGET!H6</f>
        <v>15581.999999999998</v>
      </c>
      <c r="J6" s="36">
        <f>BUDGET!I6</f>
        <v>5427.2</v>
      </c>
    </row>
    <row r="7" spans="1:10">
      <c r="A7" t="str">
        <f>BUDGET!A7</f>
        <v xml:space="preserve">Janvier </v>
      </c>
      <c r="B7" s="51" cm="1">
        <f t="array" ref="B7">_xlfn.SWITCH(TRIM(A7),"Janvier",1,"Février",2,"Mars",3,"Avril",4,"Mai",5,"Juin",6,"Juillet",7,"Août",8,"Septembre",9,"Octobre",10,"Novembre",11,"Décembre",12,NA())</f>
        <v>1</v>
      </c>
      <c r="C7" t="str">
        <f>BUDGET!C7</f>
        <v>Nord</v>
      </c>
      <c r="D7" t="str">
        <f>BUDGET!D7</f>
        <v>Equipements</v>
      </c>
      <c r="E7" t="s">
        <v>48</v>
      </c>
      <c r="F7" s="35">
        <f>BUDGET!E7</f>
        <v>134</v>
      </c>
      <c r="G7" s="18">
        <f>BUDGET!F7</f>
        <v>42880</v>
      </c>
      <c r="H7" s="36">
        <f>BUDGET!G7</f>
        <v>18291</v>
      </c>
      <c r="I7" s="36">
        <f>BUDGET!H7</f>
        <v>9849</v>
      </c>
      <c r="J7" s="36">
        <f>BUDGET!I7</f>
        <v>3430.4</v>
      </c>
    </row>
    <row r="8" spans="1:10">
      <c r="A8" t="str">
        <f>BUDGET!A8</f>
        <v xml:space="preserve">Janvier </v>
      </c>
      <c r="B8" s="51" cm="1">
        <f t="array" ref="B8">_xlfn.SWITCH(TRIM(A8),"Janvier",1,"Février",2,"Mars",3,"Avril",4,"Mai",5,"Juin",6,"Juillet",7,"Août",8,"Septembre",9,"Octobre",10,"Novembre",11,"Décembre",12,NA())</f>
        <v>1</v>
      </c>
      <c r="C8" t="str">
        <f>BUDGET!C8</f>
        <v>Sud</v>
      </c>
      <c r="D8" t="str">
        <f>BUDGET!D8</f>
        <v>Equipements</v>
      </c>
      <c r="E8" t="s">
        <v>48</v>
      </c>
      <c r="F8" s="35">
        <f>BUDGET!E8</f>
        <v>123</v>
      </c>
      <c r="G8" s="18">
        <f>BUDGET!F8</f>
        <v>39360</v>
      </c>
      <c r="H8" s="36">
        <f>BUDGET!G8</f>
        <v>16789.5</v>
      </c>
      <c r="I8" s="36">
        <f>BUDGET!H8</f>
        <v>9040.5</v>
      </c>
      <c r="J8" s="36">
        <f>BUDGET!I8</f>
        <v>3148.8</v>
      </c>
    </row>
    <row r="9" spans="1:10">
      <c r="A9" t="str">
        <f>BUDGET!A9</f>
        <v xml:space="preserve">Janvier </v>
      </c>
      <c r="B9" s="51" cm="1">
        <f t="array" ref="B9">_xlfn.SWITCH(TRIM(A9),"Janvier",1,"Février",2,"Mars",3,"Avril",4,"Mai",5,"Juin",6,"Juillet",7,"Août",8,"Septembre",9,"Octobre",10,"Novembre",11,"Décembre",12,NA())</f>
        <v>1</v>
      </c>
      <c r="C9" t="str">
        <f>BUDGET!C9</f>
        <v>Export</v>
      </c>
      <c r="D9" t="str">
        <f>BUDGET!D9</f>
        <v>Equipements</v>
      </c>
      <c r="E9" t="s">
        <v>48</v>
      </c>
      <c r="F9" s="35">
        <f>BUDGET!E9</f>
        <v>89</v>
      </c>
      <c r="G9" s="18">
        <f>BUDGET!F9</f>
        <v>28480</v>
      </c>
      <c r="H9" s="36">
        <f>BUDGET!G9</f>
        <v>12148.5</v>
      </c>
      <c r="I9" s="36">
        <f>BUDGET!H9</f>
        <v>6541.5</v>
      </c>
      <c r="J9" s="36">
        <f>BUDGET!I9</f>
        <v>2278.4</v>
      </c>
    </row>
    <row r="10" spans="1:10">
      <c r="A10" t="str">
        <f>BUDGET!A10</f>
        <v xml:space="preserve">Janvier </v>
      </c>
      <c r="B10" s="51" cm="1">
        <f t="array" ref="B10">_xlfn.SWITCH(TRIM(A10),"Janvier",1,"Février",2,"Mars",3,"Avril",4,"Mai",5,"Juin",6,"Juillet",7,"Août",8,"Septembre",9,"Octobre",10,"Novembre",11,"Décembre",12,NA())</f>
        <v>1</v>
      </c>
      <c r="C10" t="str">
        <f>BUDGET!C10</f>
        <v>IDF</v>
      </c>
      <c r="D10" t="str">
        <f>BUDGET!D10</f>
        <v>Services</v>
      </c>
      <c r="E10" t="s">
        <v>48</v>
      </c>
      <c r="F10" s="35">
        <f>BUDGET!E10</f>
        <v>130</v>
      </c>
      <c r="G10" s="18">
        <f>BUDGET!F10</f>
        <v>19500</v>
      </c>
      <c r="H10" s="36">
        <f>BUDGET!G10</f>
        <v>7605</v>
      </c>
      <c r="I10" s="36">
        <f>BUDGET!H10</f>
        <v>4094.9999999999995</v>
      </c>
      <c r="J10" s="36">
        <f>BUDGET!I10</f>
        <v>1560</v>
      </c>
    </row>
    <row r="11" spans="1:10">
      <c r="A11" t="str">
        <f>BUDGET!A11</f>
        <v xml:space="preserve">Janvier </v>
      </c>
      <c r="B11" s="51" cm="1">
        <f t="array" ref="B11">_xlfn.SWITCH(TRIM(A11),"Janvier",1,"Février",2,"Mars",3,"Avril",4,"Mai",5,"Juin",6,"Juillet",7,"Août",8,"Septembre",9,"Octobre",10,"Novembre",11,"Décembre",12,NA())</f>
        <v>1</v>
      </c>
      <c r="C11" t="str">
        <f>BUDGET!C11</f>
        <v>Nord</v>
      </c>
      <c r="D11" t="str">
        <f>BUDGET!D11</f>
        <v>Services</v>
      </c>
      <c r="E11" t="s">
        <v>48</v>
      </c>
      <c r="F11" s="35">
        <f>BUDGET!E11</f>
        <v>82</v>
      </c>
      <c r="G11" s="18">
        <f>BUDGET!F11</f>
        <v>12300</v>
      </c>
      <c r="H11" s="36">
        <f>BUDGET!G11</f>
        <v>4797</v>
      </c>
      <c r="I11" s="36">
        <f>BUDGET!H11</f>
        <v>2583</v>
      </c>
      <c r="J11" s="36">
        <f>BUDGET!I11</f>
        <v>984</v>
      </c>
    </row>
    <row r="12" spans="1:10">
      <c r="A12" t="str">
        <f>BUDGET!A12</f>
        <v xml:space="preserve">Janvier </v>
      </c>
      <c r="B12" s="51" cm="1">
        <f t="array" ref="B12">_xlfn.SWITCH(TRIM(A12),"Janvier",1,"Février",2,"Mars",3,"Avril",4,"Mai",5,"Juin",6,"Juillet",7,"Août",8,"Septembre",9,"Octobre",10,"Novembre",11,"Décembre",12,NA())</f>
        <v>1</v>
      </c>
      <c r="C12" t="str">
        <f>BUDGET!C12</f>
        <v>Sud</v>
      </c>
      <c r="D12" t="str">
        <f>BUDGET!D12</f>
        <v>Services</v>
      </c>
      <c r="E12" t="s">
        <v>48</v>
      </c>
      <c r="F12" s="35">
        <f>BUDGET!E12</f>
        <v>75</v>
      </c>
      <c r="G12" s="18">
        <f>BUDGET!F12</f>
        <v>11250</v>
      </c>
      <c r="H12" s="36">
        <f>BUDGET!G12</f>
        <v>4387.5</v>
      </c>
      <c r="I12" s="36">
        <f>BUDGET!H12</f>
        <v>2362.5</v>
      </c>
      <c r="J12" s="36">
        <f>BUDGET!I12</f>
        <v>900</v>
      </c>
    </row>
    <row r="13" spans="1:10">
      <c r="A13" t="str">
        <f>BUDGET!A13</f>
        <v xml:space="preserve">Janvier </v>
      </c>
      <c r="B13" s="51" cm="1">
        <f t="array" ref="B13">_xlfn.SWITCH(TRIM(A13),"Janvier",1,"Février",2,"Mars",3,"Avril",4,"Mai",5,"Juin",6,"Juillet",7,"Août",8,"Septembre",9,"Octobre",10,"Novembre",11,"Décembre",12,NA())</f>
        <v>1</v>
      </c>
      <c r="C13" t="str">
        <f>BUDGET!C13</f>
        <v>Export</v>
      </c>
      <c r="D13" t="str">
        <f>BUDGET!D13</f>
        <v>Services</v>
      </c>
      <c r="E13" t="s">
        <v>48</v>
      </c>
      <c r="F13" s="35">
        <f>BUDGET!E13</f>
        <v>55</v>
      </c>
      <c r="G13" s="18">
        <f>BUDGET!F13</f>
        <v>8250</v>
      </c>
      <c r="H13" s="36">
        <f>BUDGET!G13</f>
        <v>3217.5</v>
      </c>
      <c r="I13" s="36">
        <f>BUDGET!H13</f>
        <v>1732.5</v>
      </c>
      <c r="J13" s="36">
        <f>BUDGET!I13</f>
        <v>660</v>
      </c>
    </row>
    <row r="14" spans="1:10">
      <c r="A14" t="str">
        <f>BUDGET!A14</f>
        <v xml:space="preserve">Février </v>
      </c>
      <c r="B14" s="51" cm="1">
        <f t="array" ref="B14">_xlfn.SWITCH(TRIM(A14),"Janvier",1,"Février",2,"Mars",3,"Avril",4,"Mai",5,"Juin",6,"Juillet",7,"Août",8,"Septembre",9,"Octobre",10,"Novembre",11,"Décembre",12,NA())</f>
        <v>2</v>
      </c>
      <c r="C14" t="str">
        <f>BUDGET!C14</f>
        <v>IDF</v>
      </c>
      <c r="D14" t="str">
        <f>BUDGET!D14</f>
        <v>composants</v>
      </c>
      <c r="E14" t="s">
        <v>48</v>
      </c>
      <c r="F14" s="35">
        <f>BUDGET!E14</f>
        <v>1818</v>
      </c>
      <c r="G14" s="18">
        <f>BUDGET!F14</f>
        <v>81810</v>
      </c>
      <c r="H14" s="36">
        <f>BUDGET!G14</f>
        <v>33087.599999999999</v>
      </c>
      <c r="I14" s="36">
        <f>BUDGET!H14</f>
        <v>17816.399999999998</v>
      </c>
      <c r="J14" s="36">
        <f>BUDGET!I14</f>
        <v>6544.8</v>
      </c>
    </row>
    <row r="15" spans="1:10">
      <c r="A15" t="str">
        <f>BUDGET!A15</f>
        <v xml:space="preserve">Février </v>
      </c>
      <c r="B15" s="51" cm="1">
        <f t="array" ref="B15">_xlfn.SWITCH(TRIM(A15),"Janvier",1,"Février",2,"Mars",3,"Avril",4,"Mai",5,"Juin",6,"Juillet",7,"Août",8,"Septembre",9,"Octobre",10,"Novembre",11,"Décembre",12,NA())</f>
        <v>2</v>
      </c>
      <c r="C15" t="str">
        <f>BUDGET!C15</f>
        <v>Nord</v>
      </c>
      <c r="D15" t="str">
        <f>BUDGET!D15</f>
        <v>composants</v>
      </c>
      <c r="E15" t="s">
        <v>48</v>
      </c>
      <c r="F15" s="35">
        <f>BUDGET!E15</f>
        <v>1148</v>
      </c>
      <c r="G15" s="18">
        <f>BUDGET!F15</f>
        <v>51660</v>
      </c>
      <c r="H15" s="36">
        <f>BUDGET!G15</f>
        <v>20893.600000000002</v>
      </c>
      <c r="I15" s="36">
        <f>BUDGET!H15</f>
        <v>11250.4</v>
      </c>
      <c r="J15" s="36">
        <f>BUDGET!I15</f>
        <v>4132.8</v>
      </c>
    </row>
    <row r="16" spans="1:10">
      <c r="A16" t="str">
        <f>BUDGET!A16</f>
        <v xml:space="preserve">Février </v>
      </c>
      <c r="B16" s="51" cm="1">
        <f t="array" ref="B16">_xlfn.SWITCH(TRIM(A16),"Janvier",1,"Février",2,"Mars",3,"Avril",4,"Mai",5,"Juin",6,"Juillet",7,"Août",8,"Septembre",9,"Octobre",10,"Novembre",11,"Décembre",12,NA())</f>
        <v>2</v>
      </c>
      <c r="C16" t="str">
        <f>BUDGET!C16</f>
        <v>Sud</v>
      </c>
      <c r="D16" t="str">
        <f>BUDGET!D16</f>
        <v>composants</v>
      </c>
      <c r="E16" t="s">
        <v>48</v>
      </c>
      <c r="F16" s="35">
        <f>BUDGET!E16</f>
        <v>1052</v>
      </c>
      <c r="G16" s="18">
        <f>BUDGET!F16</f>
        <v>47340</v>
      </c>
      <c r="H16" s="36">
        <f>BUDGET!G16</f>
        <v>19146.400000000001</v>
      </c>
      <c r="I16" s="36">
        <f>BUDGET!H16</f>
        <v>10309.599999999999</v>
      </c>
      <c r="J16" s="36">
        <f>BUDGET!I16</f>
        <v>3787.2000000000003</v>
      </c>
    </row>
    <row r="17" spans="1:10">
      <c r="A17" t="str">
        <f>BUDGET!A17</f>
        <v xml:space="preserve">Février </v>
      </c>
      <c r="B17" s="51" cm="1">
        <f t="array" ref="B17">_xlfn.SWITCH(TRIM(A17),"Janvier",1,"Février",2,"Mars",3,"Avril",4,"Mai",5,"Juin",6,"Juillet",7,"Août",8,"Septembre",9,"Octobre",10,"Novembre",11,"Décembre",12,NA())</f>
        <v>2</v>
      </c>
      <c r="C17" t="str">
        <f>BUDGET!C17</f>
        <v>Export</v>
      </c>
      <c r="D17" t="str">
        <f>BUDGET!D17</f>
        <v>composants</v>
      </c>
      <c r="E17" t="s">
        <v>48</v>
      </c>
      <c r="F17" s="35">
        <f>BUDGET!E17</f>
        <v>765</v>
      </c>
      <c r="G17" s="18">
        <f>BUDGET!F17</f>
        <v>34425</v>
      </c>
      <c r="H17" s="36">
        <f>BUDGET!G17</f>
        <v>13923</v>
      </c>
      <c r="I17" s="36">
        <f>BUDGET!H17</f>
        <v>7496.9999999999991</v>
      </c>
      <c r="J17" s="36">
        <f>BUDGET!I17</f>
        <v>2754</v>
      </c>
    </row>
    <row r="18" spans="1:10">
      <c r="A18" t="str">
        <f>BUDGET!A18</f>
        <v xml:space="preserve">Février </v>
      </c>
      <c r="B18" s="51" cm="1">
        <f t="array" ref="B18">_xlfn.SWITCH(TRIM(A18),"Janvier",1,"Février",2,"Mars",3,"Avril",4,"Mai",5,"Juin",6,"Juillet",7,"Août",8,"Septembre",9,"Octobre",10,"Novembre",11,"Décembre",12,NA())</f>
        <v>2</v>
      </c>
      <c r="C18" t="str">
        <f>BUDGET!C18</f>
        <v>IDF</v>
      </c>
      <c r="D18" t="str">
        <f>BUDGET!D18</f>
        <v>Equipements</v>
      </c>
      <c r="E18" t="s">
        <v>48</v>
      </c>
      <c r="F18" s="35">
        <f>BUDGET!E18</f>
        <v>217</v>
      </c>
      <c r="G18" s="18">
        <f>BUDGET!F18</f>
        <v>69440</v>
      </c>
      <c r="H18" s="36">
        <f>BUDGET!G18</f>
        <v>29620.5</v>
      </c>
      <c r="I18" s="36">
        <f>BUDGET!H18</f>
        <v>15949.499999999998</v>
      </c>
      <c r="J18" s="36">
        <f>BUDGET!I18</f>
        <v>5555.2</v>
      </c>
    </row>
    <row r="19" spans="1:10">
      <c r="A19" t="str">
        <f>BUDGET!A19</f>
        <v xml:space="preserve">Février </v>
      </c>
      <c r="B19" s="51" cm="1">
        <f t="array" ref="B19">_xlfn.SWITCH(TRIM(A19),"Janvier",1,"Février",2,"Mars",3,"Avril",4,"Mai",5,"Juin",6,"Juillet",7,"Août",8,"Septembre",9,"Octobre",10,"Novembre",11,"Décembre",12,NA())</f>
        <v>2</v>
      </c>
      <c r="C19" t="str">
        <f>BUDGET!C19</f>
        <v>Nord</v>
      </c>
      <c r="D19" t="str">
        <f>BUDGET!D19</f>
        <v>Equipements</v>
      </c>
      <c r="E19" t="s">
        <v>48</v>
      </c>
      <c r="F19" s="35">
        <f>BUDGET!E19</f>
        <v>137</v>
      </c>
      <c r="G19" s="18">
        <f>BUDGET!F19</f>
        <v>43840</v>
      </c>
      <c r="H19" s="36">
        <f>BUDGET!G19</f>
        <v>18700.5</v>
      </c>
      <c r="I19" s="36">
        <f>BUDGET!H19</f>
        <v>10069.5</v>
      </c>
      <c r="J19" s="36">
        <f>BUDGET!I19</f>
        <v>3507.2000000000003</v>
      </c>
    </row>
    <row r="20" spans="1:10">
      <c r="A20" t="str">
        <f>BUDGET!A20</f>
        <v xml:space="preserve">Février </v>
      </c>
      <c r="B20" s="51" cm="1">
        <f t="array" ref="B20">_xlfn.SWITCH(TRIM(A20),"Janvier",1,"Février",2,"Mars",3,"Avril",4,"Mai",5,"Juin",6,"Juillet",7,"Août",8,"Septembre",9,"Octobre",10,"Novembre",11,"Décembre",12,NA())</f>
        <v>2</v>
      </c>
      <c r="C20" t="str">
        <f>BUDGET!C20</f>
        <v>Sud</v>
      </c>
      <c r="D20" t="str">
        <f>BUDGET!D20</f>
        <v>Equipements</v>
      </c>
      <c r="E20" t="s">
        <v>48</v>
      </c>
      <c r="F20" s="35">
        <f>BUDGET!E20</f>
        <v>125</v>
      </c>
      <c r="G20" s="18">
        <f>BUDGET!F20</f>
        <v>40000</v>
      </c>
      <c r="H20" s="36">
        <f>BUDGET!G20</f>
        <v>17062.5</v>
      </c>
      <c r="I20" s="36">
        <f>BUDGET!H20</f>
        <v>9187.5</v>
      </c>
      <c r="J20" s="36">
        <f>BUDGET!I20</f>
        <v>3200</v>
      </c>
    </row>
    <row r="21" spans="1:10">
      <c r="A21" t="str">
        <f>BUDGET!A21</f>
        <v xml:space="preserve">Février </v>
      </c>
      <c r="B21" s="51" cm="1">
        <f t="array" ref="B21">_xlfn.SWITCH(TRIM(A21),"Janvier",1,"Février",2,"Mars",3,"Avril",4,"Mai",5,"Juin",6,"Juillet",7,"Août",8,"Septembre",9,"Octobre",10,"Novembre",11,"Décembre",12,NA())</f>
        <v>2</v>
      </c>
      <c r="C21" t="str">
        <f>BUDGET!C21</f>
        <v>Export</v>
      </c>
      <c r="D21" t="str">
        <f>BUDGET!D21</f>
        <v>Equipements</v>
      </c>
      <c r="E21" t="s">
        <v>48</v>
      </c>
      <c r="F21" s="35">
        <f>BUDGET!E21</f>
        <v>91</v>
      </c>
      <c r="G21" s="18">
        <f>BUDGET!F21</f>
        <v>29120</v>
      </c>
      <c r="H21" s="36">
        <f>BUDGET!G21</f>
        <v>12421.5</v>
      </c>
      <c r="I21" s="36">
        <f>BUDGET!H21</f>
        <v>6688.5</v>
      </c>
      <c r="J21" s="36">
        <f>BUDGET!I21</f>
        <v>2329.6</v>
      </c>
    </row>
    <row r="22" spans="1:10">
      <c r="A22" t="str">
        <f>BUDGET!A22</f>
        <v xml:space="preserve">Février </v>
      </c>
      <c r="B22" s="51" cm="1">
        <f t="array" ref="B22">_xlfn.SWITCH(TRIM(A22),"Janvier",1,"Février",2,"Mars",3,"Avril",4,"Mai",5,"Juin",6,"Juillet",7,"Août",8,"Septembre",9,"Octobre",10,"Novembre",11,"Décembre",12,NA())</f>
        <v>2</v>
      </c>
      <c r="C22" t="str">
        <f>BUDGET!C22</f>
        <v>IDF</v>
      </c>
      <c r="D22" t="str">
        <f>BUDGET!D22</f>
        <v>Services</v>
      </c>
      <c r="E22" t="s">
        <v>48</v>
      </c>
      <c r="F22" s="35">
        <f>BUDGET!E22</f>
        <v>133</v>
      </c>
      <c r="G22" s="18">
        <f>BUDGET!F22</f>
        <v>19950</v>
      </c>
      <c r="H22" s="36">
        <f>BUDGET!G22</f>
        <v>7780.5</v>
      </c>
      <c r="I22" s="36">
        <f>BUDGET!H22</f>
        <v>4189.5</v>
      </c>
      <c r="J22" s="36">
        <f>BUDGET!I22</f>
        <v>1596</v>
      </c>
    </row>
    <row r="23" spans="1:10">
      <c r="A23" t="str">
        <f>BUDGET!A23</f>
        <v xml:space="preserve">Février </v>
      </c>
      <c r="B23" s="51" cm="1">
        <f t="array" ref="B23">_xlfn.SWITCH(TRIM(A23),"Janvier",1,"Février",2,"Mars",3,"Avril",4,"Mai",5,"Juin",6,"Juillet",7,"Août",8,"Septembre",9,"Octobre",10,"Novembre",11,"Décembre",12,NA())</f>
        <v>2</v>
      </c>
      <c r="C23" t="str">
        <f>BUDGET!C23</f>
        <v>Nord</v>
      </c>
      <c r="D23" t="str">
        <f>BUDGET!D23</f>
        <v>Services</v>
      </c>
      <c r="E23" t="s">
        <v>48</v>
      </c>
      <c r="F23" s="35">
        <f>BUDGET!E23</f>
        <v>84</v>
      </c>
      <c r="G23" s="18">
        <f>BUDGET!F23</f>
        <v>12600</v>
      </c>
      <c r="H23" s="36">
        <f>BUDGET!G23</f>
        <v>4914</v>
      </c>
      <c r="I23" s="36">
        <f>BUDGET!H23</f>
        <v>2646</v>
      </c>
      <c r="J23" s="36">
        <f>BUDGET!I23</f>
        <v>1008</v>
      </c>
    </row>
    <row r="24" spans="1:10">
      <c r="A24" t="str">
        <f>BUDGET!A24</f>
        <v xml:space="preserve">Février </v>
      </c>
      <c r="B24" s="51" cm="1">
        <f t="array" ref="B24">_xlfn.SWITCH(TRIM(A24),"Janvier",1,"Février",2,"Mars",3,"Avril",4,"Mai",5,"Juin",6,"Juillet",7,"Août",8,"Septembre",9,"Octobre",10,"Novembre",11,"Décembre",12,NA())</f>
        <v>2</v>
      </c>
      <c r="C24" t="str">
        <f>BUDGET!C24</f>
        <v>Sud</v>
      </c>
      <c r="D24" t="str">
        <f>BUDGET!D24</f>
        <v>Services</v>
      </c>
      <c r="E24" t="s">
        <v>48</v>
      </c>
      <c r="F24" s="35">
        <f>BUDGET!E24</f>
        <v>77</v>
      </c>
      <c r="G24" s="18">
        <f>BUDGET!F24</f>
        <v>11550</v>
      </c>
      <c r="H24" s="36">
        <f>BUDGET!G24</f>
        <v>4504.5</v>
      </c>
      <c r="I24" s="36">
        <f>BUDGET!H24</f>
        <v>2425.5</v>
      </c>
      <c r="J24" s="36">
        <f>BUDGET!I24</f>
        <v>924</v>
      </c>
    </row>
    <row r="25" spans="1:10">
      <c r="A25" t="str">
        <f>BUDGET!A25</f>
        <v xml:space="preserve">Février </v>
      </c>
      <c r="B25" s="51" cm="1">
        <f t="array" ref="B25">_xlfn.SWITCH(TRIM(A25),"Janvier",1,"Février",2,"Mars",3,"Avril",4,"Mai",5,"Juin",6,"Juillet",7,"Août",8,"Septembre",9,"Octobre",10,"Novembre",11,"Décembre",12,NA())</f>
        <v>2</v>
      </c>
      <c r="C25" t="str">
        <f>BUDGET!C25</f>
        <v>Export</v>
      </c>
      <c r="D25" t="str">
        <f>BUDGET!D25</f>
        <v>Services</v>
      </c>
      <c r="E25" t="s">
        <v>48</v>
      </c>
      <c r="F25" s="35">
        <f>BUDGET!E25</f>
        <v>56</v>
      </c>
      <c r="G25" s="18">
        <f>BUDGET!F25</f>
        <v>8400</v>
      </c>
      <c r="H25" s="36">
        <f>BUDGET!G25</f>
        <v>3276</v>
      </c>
      <c r="I25" s="36">
        <f>BUDGET!H25</f>
        <v>1764</v>
      </c>
      <c r="J25" s="36">
        <f>BUDGET!I25</f>
        <v>672</v>
      </c>
    </row>
    <row r="26" spans="1:10">
      <c r="A26" t="str">
        <f>BUDGET!A26</f>
        <v xml:space="preserve">Mars </v>
      </c>
      <c r="B26" s="51" cm="1">
        <f t="array" ref="B26">_xlfn.SWITCH(TRIM(A26),"Janvier",1,"Février",2,"Mars",3,"Avril",4,"Mai",5,"Juin",6,"Juillet",7,"Août",8,"Septembre",9,"Octobre",10,"Novembre",11,"Décembre",12,NA())</f>
        <v>3</v>
      </c>
      <c r="C26" t="str">
        <f>BUDGET!C26</f>
        <v>IDF</v>
      </c>
      <c r="D26" t="str">
        <f>BUDGET!D26</f>
        <v>composants</v>
      </c>
      <c r="E26" t="s">
        <v>48</v>
      </c>
      <c r="F26" s="35">
        <f>BUDGET!E26</f>
        <v>1976</v>
      </c>
      <c r="G26" s="18">
        <f>BUDGET!F26</f>
        <v>88920</v>
      </c>
      <c r="H26" s="36">
        <f>BUDGET!G26</f>
        <v>35963.200000000004</v>
      </c>
      <c r="I26" s="36">
        <f>BUDGET!H26</f>
        <v>19364.8</v>
      </c>
      <c r="J26" s="36">
        <f>BUDGET!I26</f>
        <v>7113.6</v>
      </c>
    </row>
    <row r="27" spans="1:10">
      <c r="A27" t="str">
        <f>BUDGET!A27</f>
        <v xml:space="preserve">Mars </v>
      </c>
      <c r="B27" s="51" cm="1">
        <f t="array" ref="B27">_xlfn.SWITCH(TRIM(A27),"Janvier",1,"Février",2,"Mars",3,"Avril",4,"Mai",5,"Juin",6,"Juillet",7,"Août",8,"Septembre",9,"Octobre",10,"Novembre",11,"Décembre",12,NA())</f>
        <v>3</v>
      </c>
      <c r="C27" t="str">
        <f>BUDGET!C27</f>
        <v>Nord</v>
      </c>
      <c r="D27" t="str">
        <f>BUDGET!D27</f>
        <v>composants</v>
      </c>
      <c r="E27" t="s">
        <v>48</v>
      </c>
      <c r="F27" s="35">
        <f>BUDGET!E27</f>
        <v>1248</v>
      </c>
      <c r="G27" s="18">
        <f>BUDGET!F27</f>
        <v>56160</v>
      </c>
      <c r="H27" s="36">
        <f>BUDGET!G27</f>
        <v>22713.600000000002</v>
      </c>
      <c r="I27" s="36">
        <f>BUDGET!H27</f>
        <v>12230.4</v>
      </c>
      <c r="J27" s="36">
        <f>BUDGET!I27</f>
        <v>4492.8</v>
      </c>
    </row>
    <row r="28" spans="1:10">
      <c r="A28" t="str">
        <f>BUDGET!A28</f>
        <v xml:space="preserve">Mars </v>
      </c>
      <c r="B28" s="51" cm="1">
        <f t="array" ref="B28">_xlfn.SWITCH(TRIM(A28),"Janvier",1,"Février",2,"Mars",3,"Avril",4,"Mai",5,"Juin",6,"Juillet",7,"Août",8,"Septembre",9,"Octobre",10,"Novembre",11,"Décembre",12,NA())</f>
        <v>3</v>
      </c>
      <c r="C28" t="str">
        <f>BUDGET!C28</f>
        <v>Sud</v>
      </c>
      <c r="D28" t="str">
        <f>BUDGET!D28</f>
        <v>composants</v>
      </c>
      <c r="E28" t="s">
        <v>48</v>
      </c>
      <c r="F28" s="35">
        <f>BUDGET!E28</f>
        <v>1144</v>
      </c>
      <c r="G28" s="18">
        <f>BUDGET!F28</f>
        <v>51480</v>
      </c>
      <c r="H28" s="36">
        <f>BUDGET!G28</f>
        <v>20820.8</v>
      </c>
      <c r="I28" s="36">
        <f>BUDGET!H28</f>
        <v>11211.199999999999</v>
      </c>
      <c r="J28" s="36">
        <f>BUDGET!I28</f>
        <v>4118.3999999999996</v>
      </c>
    </row>
    <row r="29" spans="1:10">
      <c r="A29" t="str">
        <f>BUDGET!A29</f>
        <v xml:space="preserve">Mars </v>
      </c>
      <c r="B29" s="51" cm="1">
        <f t="array" ref="B29">_xlfn.SWITCH(TRIM(A29),"Janvier",1,"Février",2,"Mars",3,"Avril",4,"Mai",5,"Juin",6,"Juillet",7,"Août",8,"Septembre",9,"Octobre",10,"Novembre",11,"Décembre",12,NA())</f>
        <v>3</v>
      </c>
      <c r="C29" t="str">
        <f>BUDGET!C29</f>
        <v>Export</v>
      </c>
      <c r="D29" t="str">
        <f>BUDGET!D29</f>
        <v>composants</v>
      </c>
      <c r="E29" t="s">
        <v>48</v>
      </c>
      <c r="F29" s="35">
        <f>BUDGET!E29</f>
        <v>832</v>
      </c>
      <c r="G29" s="18">
        <f>BUDGET!F29</f>
        <v>37440</v>
      </c>
      <c r="H29" s="36">
        <f>BUDGET!G29</f>
        <v>15142.4</v>
      </c>
      <c r="I29" s="36">
        <f>BUDGET!H29</f>
        <v>8153.5999999999995</v>
      </c>
      <c r="J29" s="36">
        <f>BUDGET!I29</f>
        <v>2995.2000000000003</v>
      </c>
    </row>
    <row r="30" spans="1:10">
      <c r="A30" t="str">
        <f>BUDGET!A30</f>
        <v xml:space="preserve">Mars </v>
      </c>
      <c r="B30" s="51" cm="1">
        <f t="array" ref="B30">_xlfn.SWITCH(TRIM(A30),"Janvier",1,"Février",2,"Mars",3,"Avril",4,"Mai",5,"Juin",6,"Juillet",7,"Août",8,"Septembre",9,"Octobre",10,"Novembre",11,"Décembre",12,NA())</f>
        <v>3</v>
      </c>
      <c r="C30" t="str">
        <f>BUDGET!C30</f>
        <v>IDF</v>
      </c>
      <c r="D30" t="str">
        <f>BUDGET!D30</f>
        <v>Equipements</v>
      </c>
      <c r="E30" t="s">
        <v>48</v>
      </c>
      <c r="F30" s="35">
        <f>BUDGET!E30</f>
        <v>236</v>
      </c>
      <c r="G30" s="18">
        <f>BUDGET!F30</f>
        <v>75520</v>
      </c>
      <c r="H30" s="36">
        <f>BUDGET!G30</f>
        <v>32214</v>
      </c>
      <c r="I30" s="36">
        <f>BUDGET!H30</f>
        <v>17346</v>
      </c>
      <c r="J30" s="36">
        <f>BUDGET!I30</f>
        <v>6041.6</v>
      </c>
    </row>
    <row r="31" spans="1:10">
      <c r="A31" t="str">
        <f>BUDGET!A31</f>
        <v xml:space="preserve">Mars </v>
      </c>
      <c r="B31" s="51" cm="1">
        <f t="array" ref="B31">_xlfn.SWITCH(TRIM(A31),"Janvier",1,"Février",2,"Mars",3,"Avril",4,"Mai",5,"Juin",6,"Juillet",7,"Août",8,"Septembre",9,"Octobre",10,"Novembre",11,"Décembre",12,NA())</f>
        <v>3</v>
      </c>
      <c r="C31" t="str">
        <f>BUDGET!C31</f>
        <v>Nord</v>
      </c>
      <c r="D31" t="str">
        <f>BUDGET!D31</f>
        <v>Equipements</v>
      </c>
      <c r="E31" t="s">
        <v>48</v>
      </c>
      <c r="F31" s="35">
        <f>BUDGET!E31</f>
        <v>149</v>
      </c>
      <c r="G31" s="18">
        <f>BUDGET!F31</f>
        <v>47680</v>
      </c>
      <c r="H31" s="36">
        <f>BUDGET!G31</f>
        <v>20338.5</v>
      </c>
      <c r="I31" s="36">
        <f>BUDGET!H31</f>
        <v>10951.5</v>
      </c>
      <c r="J31" s="36">
        <f>BUDGET!I31</f>
        <v>3814.4</v>
      </c>
    </row>
    <row r="32" spans="1:10">
      <c r="A32" t="str">
        <f>BUDGET!A32</f>
        <v xml:space="preserve">Mars </v>
      </c>
      <c r="B32" s="51" cm="1">
        <f t="array" ref="B32">_xlfn.SWITCH(TRIM(A32),"Janvier",1,"Février",2,"Mars",3,"Avril",4,"Mai",5,"Juin",6,"Juillet",7,"Août",8,"Septembre",9,"Octobre",10,"Novembre",11,"Décembre",12,NA())</f>
        <v>3</v>
      </c>
      <c r="C32" t="str">
        <f>BUDGET!C32</f>
        <v>Sud</v>
      </c>
      <c r="D32" t="str">
        <f>BUDGET!D32</f>
        <v>Equipements</v>
      </c>
      <c r="E32" t="s">
        <v>48</v>
      </c>
      <c r="F32" s="35">
        <f>BUDGET!E32</f>
        <v>136</v>
      </c>
      <c r="G32" s="18">
        <f>BUDGET!F32</f>
        <v>43520</v>
      </c>
      <c r="H32" s="36">
        <f>BUDGET!G32</f>
        <v>18564</v>
      </c>
      <c r="I32" s="36">
        <f>BUDGET!H32</f>
        <v>9996</v>
      </c>
      <c r="J32" s="36">
        <f>BUDGET!I32</f>
        <v>3481.6</v>
      </c>
    </row>
    <row r="33" spans="1:10">
      <c r="A33" t="str">
        <f>BUDGET!A33</f>
        <v xml:space="preserve">Mars </v>
      </c>
      <c r="B33" s="51" cm="1">
        <f t="array" ref="B33">_xlfn.SWITCH(TRIM(A33),"Janvier",1,"Février",2,"Mars",3,"Avril",4,"Mai",5,"Juin",6,"Juillet",7,"Août",8,"Septembre",9,"Octobre",10,"Novembre",11,"Décembre",12,NA())</f>
        <v>3</v>
      </c>
      <c r="C33" t="str">
        <f>BUDGET!C33</f>
        <v>Export</v>
      </c>
      <c r="D33" t="str">
        <f>BUDGET!D33</f>
        <v>Equipements</v>
      </c>
      <c r="E33" t="s">
        <v>48</v>
      </c>
      <c r="F33" s="35">
        <f>BUDGET!E33</f>
        <v>99</v>
      </c>
      <c r="G33" s="18">
        <f>BUDGET!F33</f>
        <v>31680</v>
      </c>
      <c r="H33" s="36">
        <f>BUDGET!G33</f>
        <v>13513.5</v>
      </c>
      <c r="I33" s="36">
        <f>BUDGET!H33</f>
        <v>7276.4999999999991</v>
      </c>
      <c r="J33" s="36">
        <f>BUDGET!I33</f>
        <v>2534.4</v>
      </c>
    </row>
    <row r="34" spans="1:10">
      <c r="A34" t="str">
        <f>BUDGET!A34</f>
        <v xml:space="preserve">Mars </v>
      </c>
      <c r="B34" s="51" cm="1">
        <f t="array" ref="B34">_xlfn.SWITCH(TRIM(A34),"Janvier",1,"Février",2,"Mars",3,"Avril",4,"Mai",5,"Juin",6,"Juillet",7,"Août",8,"Septembre",9,"Octobre",10,"Novembre",11,"Décembre",12,NA())</f>
        <v>3</v>
      </c>
      <c r="C34" t="str">
        <f>BUDGET!C34</f>
        <v>IDF</v>
      </c>
      <c r="D34" t="str">
        <f>BUDGET!D34</f>
        <v>Services</v>
      </c>
      <c r="E34" t="s">
        <v>48</v>
      </c>
      <c r="F34" s="35">
        <f>BUDGET!E34</f>
        <v>144</v>
      </c>
      <c r="G34" s="18">
        <f>BUDGET!F34</f>
        <v>21600</v>
      </c>
      <c r="H34" s="36">
        <f>BUDGET!G34</f>
        <v>8424</v>
      </c>
      <c r="I34" s="36">
        <f>BUDGET!H34</f>
        <v>4536</v>
      </c>
      <c r="J34" s="36">
        <f>BUDGET!I34</f>
        <v>1728</v>
      </c>
    </row>
    <row r="35" spans="1:10">
      <c r="A35" t="str">
        <f>BUDGET!A35</f>
        <v xml:space="preserve">Mars </v>
      </c>
      <c r="B35" s="51" cm="1">
        <f t="array" ref="B35">_xlfn.SWITCH(TRIM(A35),"Janvier",1,"Février",2,"Mars",3,"Avril",4,"Mai",5,"Juin",6,"Juillet",7,"Août",8,"Septembre",9,"Octobre",10,"Novembre",11,"Décembre",12,NA())</f>
        <v>3</v>
      </c>
      <c r="C35" t="str">
        <f>BUDGET!C35</f>
        <v>Nord</v>
      </c>
      <c r="D35" t="str">
        <f>BUDGET!D35</f>
        <v>Services</v>
      </c>
      <c r="E35" t="s">
        <v>48</v>
      </c>
      <c r="F35" s="35">
        <f>BUDGET!E35</f>
        <v>91</v>
      </c>
      <c r="G35" s="18">
        <f>BUDGET!F35</f>
        <v>13650</v>
      </c>
      <c r="H35" s="36">
        <f>BUDGET!G35</f>
        <v>5323.5</v>
      </c>
      <c r="I35" s="36">
        <f>BUDGET!H35</f>
        <v>2866.5</v>
      </c>
      <c r="J35" s="36">
        <f>BUDGET!I35</f>
        <v>1092</v>
      </c>
    </row>
    <row r="36" spans="1:10">
      <c r="A36" t="str">
        <f>BUDGET!A36</f>
        <v xml:space="preserve">Mars </v>
      </c>
      <c r="B36" s="51" cm="1">
        <f t="array" ref="B36">_xlfn.SWITCH(TRIM(A36),"Janvier",1,"Février",2,"Mars",3,"Avril",4,"Mai",5,"Juin",6,"Juillet",7,"Août",8,"Septembre",9,"Octobre",10,"Novembre",11,"Décembre",12,NA())</f>
        <v>3</v>
      </c>
      <c r="C36" t="str">
        <f>BUDGET!C36</f>
        <v>Sud</v>
      </c>
      <c r="D36" t="str">
        <f>BUDGET!D36</f>
        <v>Services</v>
      </c>
      <c r="E36" t="s">
        <v>48</v>
      </c>
      <c r="F36" s="35">
        <f>BUDGET!E36</f>
        <v>84</v>
      </c>
      <c r="G36" s="18">
        <f>BUDGET!F36</f>
        <v>12600</v>
      </c>
      <c r="H36" s="36">
        <f>BUDGET!G36</f>
        <v>4914</v>
      </c>
      <c r="I36" s="36">
        <f>BUDGET!H36</f>
        <v>2646</v>
      </c>
      <c r="J36" s="36">
        <f>BUDGET!I36</f>
        <v>1008</v>
      </c>
    </row>
    <row r="37" spans="1:10">
      <c r="A37" t="str">
        <f>BUDGET!A37</f>
        <v xml:space="preserve">Mars </v>
      </c>
      <c r="B37" s="51" cm="1">
        <f t="array" ref="B37">_xlfn.SWITCH(TRIM(A37),"Janvier",1,"Février",2,"Mars",3,"Avril",4,"Mai",5,"Juin",6,"Juillet",7,"Août",8,"Septembre",9,"Octobre",10,"Novembre",11,"Décembre",12,NA())</f>
        <v>3</v>
      </c>
      <c r="C37" t="str">
        <f>BUDGET!C37</f>
        <v>Export</v>
      </c>
      <c r="D37" t="str">
        <f>BUDGET!D37</f>
        <v>Services</v>
      </c>
      <c r="E37" t="s">
        <v>48</v>
      </c>
      <c r="F37" s="35">
        <f>BUDGET!E37</f>
        <v>61</v>
      </c>
      <c r="G37" s="18">
        <f>BUDGET!F37</f>
        <v>9150</v>
      </c>
      <c r="H37" s="36">
        <f>BUDGET!G37</f>
        <v>3568.5</v>
      </c>
      <c r="I37" s="36">
        <f>BUDGET!H37</f>
        <v>1921.4999999999998</v>
      </c>
      <c r="J37" s="36">
        <f>BUDGET!I37</f>
        <v>732</v>
      </c>
    </row>
    <row r="38" spans="1:10">
      <c r="A38" t="str">
        <f>BUDGET!A38</f>
        <v>Avril</v>
      </c>
      <c r="B38" s="51" cm="1">
        <f t="array" ref="B38">_xlfn.SWITCH(TRIM(A38),"Janvier",1,"Février",2,"Mars",3,"Avril",4,"Mai",5,"Juin",6,"Juillet",7,"Août",8,"Septembre",9,"Octobre",10,"Novembre",11,"Décembre",12,NA())</f>
        <v>4</v>
      </c>
      <c r="C38" t="str">
        <f>BUDGET!C38</f>
        <v>IDF</v>
      </c>
      <c r="D38" t="str">
        <f>BUDGET!D38</f>
        <v>composants</v>
      </c>
      <c r="E38" t="s">
        <v>48</v>
      </c>
      <c r="F38" s="35">
        <f>BUDGET!E38</f>
        <v>2016</v>
      </c>
      <c r="G38" s="18">
        <f>BUDGET!F38</f>
        <v>90720</v>
      </c>
      <c r="H38" s="36">
        <f>BUDGET!G38</f>
        <v>36691.200000000004</v>
      </c>
      <c r="I38" s="36">
        <f>BUDGET!H38</f>
        <v>19756.8</v>
      </c>
      <c r="J38" s="36">
        <f>BUDGET!I38</f>
        <v>7257.6</v>
      </c>
    </row>
    <row r="39" spans="1:10">
      <c r="A39" t="str">
        <f>BUDGET!A39</f>
        <v>Avril</v>
      </c>
      <c r="B39" s="51" cm="1">
        <f t="array" ref="B39">_xlfn.SWITCH(TRIM(A39),"Janvier",1,"Février",2,"Mars",3,"Avril",4,"Mai",5,"Juin",6,"Juillet",7,"Août",8,"Septembre",9,"Octobre",10,"Novembre",11,"Décembre",12,NA())</f>
        <v>4</v>
      </c>
      <c r="C39" t="str">
        <f>BUDGET!C39</f>
        <v>Nord</v>
      </c>
      <c r="D39" t="str">
        <f>BUDGET!D39</f>
        <v>composants</v>
      </c>
      <c r="E39" t="s">
        <v>48</v>
      </c>
      <c r="F39" s="35">
        <f>BUDGET!E39</f>
        <v>1273</v>
      </c>
      <c r="G39" s="18">
        <f>BUDGET!F39</f>
        <v>57285</v>
      </c>
      <c r="H39" s="36">
        <f>BUDGET!G39</f>
        <v>23168.600000000002</v>
      </c>
      <c r="I39" s="36">
        <f>BUDGET!H39</f>
        <v>12475.4</v>
      </c>
      <c r="J39" s="36">
        <f>BUDGET!I39</f>
        <v>4582.8</v>
      </c>
    </row>
    <row r="40" spans="1:10">
      <c r="A40" t="str">
        <f>BUDGET!A40</f>
        <v>Avril</v>
      </c>
      <c r="B40" s="51" cm="1">
        <f t="array" ref="B40">_xlfn.SWITCH(TRIM(A40),"Janvier",1,"Février",2,"Mars",3,"Avril",4,"Mai",5,"Juin",6,"Juillet",7,"Août",8,"Septembre",9,"Octobre",10,"Novembre",11,"Décembre",12,NA())</f>
        <v>4</v>
      </c>
      <c r="C40" t="str">
        <f>BUDGET!C40</f>
        <v>Sud</v>
      </c>
      <c r="D40" t="str">
        <f>BUDGET!D40</f>
        <v>composants</v>
      </c>
      <c r="E40" t="s">
        <v>48</v>
      </c>
      <c r="F40" s="35">
        <f>BUDGET!E40</f>
        <v>1167</v>
      </c>
      <c r="G40" s="18">
        <f>BUDGET!F40</f>
        <v>52515</v>
      </c>
      <c r="H40" s="36">
        <f>BUDGET!G40</f>
        <v>21239.4</v>
      </c>
      <c r="I40" s="36">
        <f>BUDGET!H40</f>
        <v>11436.599999999999</v>
      </c>
      <c r="J40" s="36">
        <f>BUDGET!I40</f>
        <v>4201.2</v>
      </c>
    </row>
    <row r="41" spans="1:10">
      <c r="A41" t="str">
        <f>BUDGET!A41</f>
        <v>Avril</v>
      </c>
      <c r="B41" s="51" cm="1">
        <f t="array" ref="B41">_xlfn.SWITCH(TRIM(A41),"Janvier",1,"Février",2,"Mars",3,"Avril",4,"Mai",5,"Juin",6,"Juillet",7,"Août",8,"Septembre",9,"Octobre",10,"Novembre",11,"Décembre",12,NA())</f>
        <v>4</v>
      </c>
      <c r="C41" t="str">
        <f>BUDGET!C41</f>
        <v>Export</v>
      </c>
      <c r="D41" t="str">
        <f>BUDGET!D41</f>
        <v>composants</v>
      </c>
      <c r="E41" t="s">
        <v>48</v>
      </c>
      <c r="F41" s="35">
        <f>BUDGET!E41</f>
        <v>849</v>
      </c>
      <c r="G41" s="18">
        <f>BUDGET!F41</f>
        <v>38205</v>
      </c>
      <c r="H41" s="36">
        <f>BUDGET!G41</f>
        <v>15451.800000000001</v>
      </c>
      <c r="I41" s="36">
        <f>BUDGET!H41</f>
        <v>8320.1999999999989</v>
      </c>
      <c r="J41" s="36">
        <f>BUDGET!I41</f>
        <v>3056.4</v>
      </c>
    </row>
    <row r="42" spans="1:10">
      <c r="A42" t="str">
        <f>BUDGET!A42</f>
        <v>Avril</v>
      </c>
      <c r="B42" s="51" cm="1">
        <f t="array" ref="B42">_xlfn.SWITCH(TRIM(A42),"Janvier",1,"Février",2,"Mars",3,"Avril",4,"Mai",5,"Juin",6,"Juillet",7,"Août",8,"Septembre",9,"Octobre",10,"Novembre",11,"Décembre",12,NA())</f>
        <v>4</v>
      </c>
      <c r="C42" t="str">
        <f>BUDGET!C42</f>
        <v>IDF</v>
      </c>
      <c r="D42" t="str">
        <f>BUDGET!D42</f>
        <v>Equipements</v>
      </c>
      <c r="E42" t="s">
        <v>48</v>
      </c>
      <c r="F42" s="35">
        <f>BUDGET!E42</f>
        <v>240</v>
      </c>
      <c r="G42" s="18">
        <f>BUDGET!F42</f>
        <v>76800</v>
      </c>
      <c r="H42" s="36">
        <f>BUDGET!G42</f>
        <v>32760</v>
      </c>
      <c r="I42" s="36">
        <f>BUDGET!H42</f>
        <v>17640</v>
      </c>
      <c r="J42" s="36">
        <f>BUDGET!I42</f>
        <v>6144</v>
      </c>
    </row>
    <row r="43" spans="1:10">
      <c r="A43" t="str">
        <f>BUDGET!A43</f>
        <v>Avril</v>
      </c>
      <c r="B43" s="51" cm="1">
        <f t="array" ref="B43">_xlfn.SWITCH(TRIM(A43),"Janvier",1,"Février",2,"Mars",3,"Avril",4,"Mai",5,"Juin",6,"Juillet",7,"Août",8,"Septembre",9,"Octobre",10,"Novembre",11,"Décembre",12,NA())</f>
        <v>4</v>
      </c>
      <c r="C43" t="str">
        <f>BUDGET!C43</f>
        <v>Nord</v>
      </c>
      <c r="D43" t="str">
        <f>BUDGET!D43</f>
        <v>Equipements</v>
      </c>
      <c r="E43" t="s">
        <v>48</v>
      </c>
      <c r="F43" s="35">
        <f>BUDGET!E43</f>
        <v>152</v>
      </c>
      <c r="G43" s="18">
        <f>BUDGET!F43</f>
        <v>48640</v>
      </c>
      <c r="H43" s="36">
        <f>BUDGET!G43</f>
        <v>20748</v>
      </c>
      <c r="I43" s="36">
        <f>BUDGET!H43</f>
        <v>11172</v>
      </c>
      <c r="J43" s="36">
        <f>BUDGET!I43</f>
        <v>3891.2000000000003</v>
      </c>
    </row>
    <row r="44" spans="1:10">
      <c r="A44" t="str">
        <f>BUDGET!A44</f>
        <v>Avril</v>
      </c>
      <c r="B44" s="51" cm="1">
        <f t="array" ref="B44">_xlfn.SWITCH(TRIM(A44),"Janvier",1,"Février",2,"Mars",3,"Avril",4,"Mai",5,"Juin",6,"Juillet",7,"Août",8,"Septembre",9,"Octobre",10,"Novembre",11,"Décembre",12,NA())</f>
        <v>4</v>
      </c>
      <c r="C44" t="str">
        <f>BUDGET!C44</f>
        <v>Sud</v>
      </c>
      <c r="D44" t="str">
        <f>BUDGET!D44</f>
        <v>Equipements</v>
      </c>
      <c r="E44" t="s">
        <v>48</v>
      </c>
      <c r="F44" s="35">
        <f>BUDGET!E44</f>
        <v>139</v>
      </c>
      <c r="G44" s="18">
        <f>BUDGET!F44</f>
        <v>44480</v>
      </c>
      <c r="H44" s="36">
        <f>BUDGET!G44</f>
        <v>18973.5</v>
      </c>
      <c r="I44" s="36">
        <f>BUDGET!H44</f>
        <v>10216.5</v>
      </c>
      <c r="J44" s="36">
        <f>BUDGET!I44</f>
        <v>3558.4</v>
      </c>
    </row>
    <row r="45" spans="1:10">
      <c r="A45" t="str">
        <f>BUDGET!A45</f>
        <v>Avril</v>
      </c>
      <c r="B45" s="51" cm="1">
        <f t="array" ref="B45">_xlfn.SWITCH(TRIM(A45),"Janvier",1,"Février",2,"Mars",3,"Avril",4,"Mai",5,"Juin",6,"Juillet",7,"Août",8,"Septembre",9,"Octobre",10,"Novembre",11,"Décembre",12,NA())</f>
        <v>4</v>
      </c>
      <c r="C45" t="str">
        <f>BUDGET!C45</f>
        <v>Export</v>
      </c>
      <c r="D45" t="str">
        <f>BUDGET!D45</f>
        <v>Equipements</v>
      </c>
      <c r="E45" t="s">
        <v>48</v>
      </c>
      <c r="F45" s="35">
        <f>BUDGET!E45</f>
        <v>101</v>
      </c>
      <c r="G45" s="18">
        <f>BUDGET!F45</f>
        <v>32320</v>
      </c>
      <c r="H45" s="36">
        <f>BUDGET!G45</f>
        <v>13786.5</v>
      </c>
      <c r="I45" s="36">
        <f>BUDGET!H45</f>
        <v>7423.4999999999991</v>
      </c>
      <c r="J45" s="36">
        <f>BUDGET!I45</f>
        <v>2585.6</v>
      </c>
    </row>
    <row r="46" spans="1:10">
      <c r="A46" t="str">
        <f>BUDGET!A46</f>
        <v>Avril</v>
      </c>
      <c r="B46" s="51" cm="1">
        <f t="array" ref="B46">_xlfn.SWITCH(TRIM(A46),"Janvier",1,"Février",2,"Mars",3,"Avril",4,"Mai",5,"Juin",6,"Juillet",7,"Août",8,"Septembre",9,"Octobre",10,"Novembre",11,"Décembre",12,NA())</f>
        <v>4</v>
      </c>
      <c r="C46" t="str">
        <f>BUDGET!C46</f>
        <v>IDF</v>
      </c>
      <c r="D46" t="str">
        <f>BUDGET!D46</f>
        <v>Services</v>
      </c>
      <c r="E46" t="s">
        <v>48</v>
      </c>
      <c r="F46" s="35">
        <f>BUDGET!E46</f>
        <v>147</v>
      </c>
      <c r="G46" s="18">
        <f>BUDGET!F46</f>
        <v>22050</v>
      </c>
      <c r="H46" s="36">
        <f>BUDGET!G46</f>
        <v>8599.5</v>
      </c>
      <c r="I46" s="36">
        <f>BUDGET!H46</f>
        <v>4630.5</v>
      </c>
      <c r="J46" s="36">
        <f>BUDGET!I46</f>
        <v>1764</v>
      </c>
    </row>
    <row r="47" spans="1:10">
      <c r="A47" t="str">
        <f>BUDGET!A47</f>
        <v>Avril</v>
      </c>
      <c r="B47" s="51" cm="1">
        <f t="array" ref="B47">_xlfn.SWITCH(TRIM(A47),"Janvier",1,"Février",2,"Mars",3,"Avril",4,"Mai",5,"Juin",6,"Juillet",7,"Août",8,"Septembre",9,"Octobre",10,"Novembre",11,"Décembre",12,NA())</f>
        <v>4</v>
      </c>
      <c r="C47" t="str">
        <f>BUDGET!C47</f>
        <v>Nord</v>
      </c>
      <c r="D47" t="str">
        <f>BUDGET!D47</f>
        <v>Services</v>
      </c>
      <c r="E47" t="s">
        <v>48</v>
      </c>
      <c r="F47" s="35">
        <f>BUDGET!E47</f>
        <v>93</v>
      </c>
      <c r="G47" s="18">
        <f>BUDGET!F47</f>
        <v>13950</v>
      </c>
      <c r="H47" s="36">
        <f>BUDGET!G47</f>
        <v>5440.5</v>
      </c>
      <c r="I47" s="36">
        <f>BUDGET!H47</f>
        <v>2929.5</v>
      </c>
      <c r="J47" s="36">
        <f>BUDGET!I47</f>
        <v>1116</v>
      </c>
    </row>
    <row r="48" spans="1:10">
      <c r="A48" t="str">
        <f>BUDGET!A48</f>
        <v>Avril</v>
      </c>
      <c r="B48" s="51" cm="1">
        <f t="array" ref="B48">_xlfn.SWITCH(TRIM(A48),"Janvier",1,"Février",2,"Mars",3,"Avril",4,"Mai",5,"Juin",6,"Juillet",7,"Août",8,"Septembre",9,"Octobre",10,"Novembre",11,"Décembre",12,NA())</f>
        <v>4</v>
      </c>
      <c r="C48" t="str">
        <f>BUDGET!C48</f>
        <v>Sud</v>
      </c>
      <c r="D48" t="str">
        <f>BUDGET!D48</f>
        <v>Services</v>
      </c>
      <c r="E48" t="s">
        <v>48</v>
      </c>
      <c r="F48" s="35">
        <f>BUDGET!E48</f>
        <v>85</v>
      </c>
      <c r="G48" s="18">
        <f>BUDGET!F48</f>
        <v>12750</v>
      </c>
      <c r="H48" s="36">
        <f>BUDGET!G48</f>
        <v>4972.5</v>
      </c>
      <c r="I48" s="36">
        <f>BUDGET!H48</f>
        <v>2677.5</v>
      </c>
      <c r="J48" s="36">
        <f>BUDGET!I48</f>
        <v>1020</v>
      </c>
    </row>
    <row r="49" spans="1:10">
      <c r="A49" t="str">
        <f>BUDGET!A49</f>
        <v>Avril</v>
      </c>
      <c r="B49" s="51" cm="1">
        <f t="array" ref="B49">_xlfn.SWITCH(TRIM(A49),"Janvier",1,"Février",2,"Mars",3,"Avril",4,"Mai",5,"Juin",6,"Juillet",7,"Août",8,"Septembre",9,"Octobre",10,"Novembre",11,"Décembre",12,NA())</f>
        <v>4</v>
      </c>
      <c r="C49" t="str">
        <f>BUDGET!C49</f>
        <v>Export</v>
      </c>
      <c r="D49" t="str">
        <f>BUDGET!D49</f>
        <v>Services</v>
      </c>
      <c r="E49" t="s">
        <v>48</v>
      </c>
      <c r="F49" s="35">
        <f>BUDGET!E49</f>
        <v>62</v>
      </c>
      <c r="G49" s="18">
        <f>BUDGET!F49</f>
        <v>9300</v>
      </c>
      <c r="H49" s="36">
        <f>BUDGET!G49</f>
        <v>3627</v>
      </c>
      <c r="I49" s="36">
        <f>BUDGET!H49</f>
        <v>1952.9999999999998</v>
      </c>
      <c r="J49" s="36">
        <f>BUDGET!I49</f>
        <v>744</v>
      </c>
    </row>
    <row r="50" spans="1:10">
      <c r="A50" t="str">
        <f>BUDGET!A50</f>
        <v>Mai</v>
      </c>
      <c r="B50" s="51" cm="1">
        <f t="array" ref="B50">_xlfn.SWITCH(TRIM(A50),"Janvier",1,"Février",2,"Mars",3,"Avril",4,"Mai",5,"Juin",6,"Juillet",7,"Août",8,"Septembre",9,"Octobre",10,"Novembre",11,"Décembre",12,NA())</f>
        <v>5</v>
      </c>
      <c r="C50" t="str">
        <f>BUDGET!C50</f>
        <v>IDF</v>
      </c>
      <c r="D50" t="str">
        <f>BUDGET!D50</f>
        <v>composants</v>
      </c>
      <c r="E50" t="s">
        <v>48</v>
      </c>
      <c r="F50" s="35">
        <f>BUDGET!E50</f>
        <v>2035</v>
      </c>
      <c r="G50" s="18">
        <f>BUDGET!F50</f>
        <v>91575</v>
      </c>
      <c r="H50" s="36">
        <f>BUDGET!G50</f>
        <v>37037</v>
      </c>
      <c r="I50" s="36">
        <f>BUDGET!H50</f>
        <v>19943</v>
      </c>
      <c r="J50" s="36">
        <f>BUDGET!I50</f>
        <v>7326</v>
      </c>
    </row>
    <row r="51" spans="1:10">
      <c r="A51" t="str">
        <f>BUDGET!A51</f>
        <v>Mai</v>
      </c>
      <c r="B51" s="51" cm="1">
        <f t="array" ref="B51">_xlfn.SWITCH(TRIM(A51),"Janvier",1,"Février",2,"Mars",3,"Avril",4,"Mai",5,"Juin",6,"Juillet",7,"Août",8,"Septembre",9,"Octobre",10,"Novembre",11,"Décembre",12,NA())</f>
        <v>5</v>
      </c>
      <c r="C51" t="str">
        <f>BUDGET!C51</f>
        <v>Nord</v>
      </c>
      <c r="D51" t="str">
        <f>BUDGET!D51</f>
        <v>composants</v>
      </c>
      <c r="E51" t="s">
        <v>48</v>
      </c>
      <c r="F51" s="35">
        <f>BUDGET!E51</f>
        <v>1285</v>
      </c>
      <c r="G51" s="18">
        <f>BUDGET!F51</f>
        <v>57825</v>
      </c>
      <c r="H51" s="36">
        <f>BUDGET!G51</f>
        <v>23387</v>
      </c>
      <c r="I51" s="36">
        <f>BUDGET!H51</f>
        <v>12593</v>
      </c>
      <c r="J51" s="36">
        <f>BUDGET!I51</f>
        <v>4626</v>
      </c>
    </row>
    <row r="52" spans="1:10">
      <c r="A52" t="str">
        <f>BUDGET!A52</f>
        <v>Mai</v>
      </c>
      <c r="B52" s="51" cm="1">
        <f t="array" ref="B52">_xlfn.SWITCH(TRIM(A52),"Janvier",1,"Février",2,"Mars",3,"Avril",4,"Mai",5,"Juin",6,"Juillet",7,"Août",8,"Septembre",9,"Octobre",10,"Novembre",11,"Décembre",12,NA())</f>
        <v>5</v>
      </c>
      <c r="C52" t="str">
        <f>BUDGET!C52</f>
        <v>Sud</v>
      </c>
      <c r="D52" t="str">
        <f>BUDGET!D52</f>
        <v>composants</v>
      </c>
      <c r="E52" t="s">
        <v>48</v>
      </c>
      <c r="F52" s="35">
        <f>BUDGET!E52</f>
        <v>1178</v>
      </c>
      <c r="G52" s="18">
        <f>BUDGET!F52</f>
        <v>53010</v>
      </c>
      <c r="H52" s="36">
        <f>BUDGET!G52</f>
        <v>21439.600000000002</v>
      </c>
      <c r="I52" s="36">
        <f>BUDGET!H52</f>
        <v>11544.4</v>
      </c>
      <c r="J52" s="36">
        <f>BUDGET!I52</f>
        <v>4240.8</v>
      </c>
    </row>
    <row r="53" spans="1:10">
      <c r="A53" t="str">
        <f>BUDGET!A53</f>
        <v>Mai</v>
      </c>
      <c r="B53" s="51" cm="1">
        <f t="array" ref="B53">_xlfn.SWITCH(TRIM(A53),"Janvier",1,"Février",2,"Mars",3,"Avril",4,"Mai",5,"Juin",6,"Juillet",7,"Août",8,"Septembre",9,"Octobre",10,"Novembre",11,"Décembre",12,NA())</f>
        <v>5</v>
      </c>
      <c r="C53" t="str">
        <f>BUDGET!C53</f>
        <v>Export</v>
      </c>
      <c r="D53" t="str">
        <f>BUDGET!D53</f>
        <v>composants</v>
      </c>
      <c r="E53" t="s">
        <v>48</v>
      </c>
      <c r="F53" s="35">
        <f>BUDGET!E53</f>
        <v>857</v>
      </c>
      <c r="G53" s="18">
        <f>BUDGET!F53</f>
        <v>38565</v>
      </c>
      <c r="H53" s="36">
        <f>BUDGET!G53</f>
        <v>15597.4</v>
      </c>
      <c r="I53" s="36">
        <f>BUDGET!H53</f>
        <v>8398.6</v>
      </c>
      <c r="J53" s="36">
        <f>BUDGET!I53</f>
        <v>3085.2000000000003</v>
      </c>
    </row>
    <row r="54" spans="1:10">
      <c r="A54" t="str">
        <f>BUDGET!A54</f>
        <v>Mai</v>
      </c>
      <c r="B54" s="51" cm="1">
        <f t="array" ref="B54">_xlfn.SWITCH(TRIM(A54),"Janvier",1,"Février",2,"Mars",3,"Avril",4,"Mai",5,"Juin",6,"Juillet",7,"Août",8,"Septembre",9,"Octobre",10,"Novembre",11,"Décembre",12,NA())</f>
        <v>5</v>
      </c>
      <c r="C54" t="str">
        <f>BUDGET!C54</f>
        <v>IDF</v>
      </c>
      <c r="D54" t="str">
        <f>BUDGET!D54</f>
        <v>Equipements</v>
      </c>
      <c r="E54" t="s">
        <v>48</v>
      </c>
      <c r="F54" s="35">
        <f>BUDGET!E54</f>
        <v>243</v>
      </c>
      <c r="G54" s="18">
        <f>BUDGET!F54</f>
        <v>77760</v>
      </c>
      <c r="H54" s="36">
        <f>BUDGET!G54</f>
        <v>33169.5</v>
      </c>
      <c r="I54" s="36">
        <f>BUDGET!H54</f>
        <v>17860.5</v>
      </c>
      <c r="J54" s="36">
        <f>BUDGET!I54</f>
        <v>6220.8</v>
      </c>
    </row>
    <row r="55" spans="1:10">
      <c r="A55" t="str">
        <f>BUDGET!A55</f>
        <v>Mai</v>
      </c>
      <c r="B55" s="51" cm="1">
        <f t="array" ref="B55">_xlfn.SWITCH(TRIM(A55),"Janvier",1,"Février",2,"Mars",3,"Avril",4,"Mai",5,"Juin",6,"Juillet",7,"Août",8,"Septembre",9,"Octobre",10,"Novembre",11,"Décembre",12,NA())</f>
        <v>5</v>
      </c>
      <c r="C55" t="str">
        <f>BUDGET!C55</f>
        <v>Nord</v>
      </c>
      <c r="D55" t="str">
        <f>BUDGET!D55</f>
        <v>Equipements</v>
      </c>
      <c r="E55" t="s">
        <v>48</v>
      </c>
      <c r="F55" s="35">
        <f>BUDGET!E55</f>
        <v>153</v>
      </c>
      <c r="G55" s="18">
        <f>BUDGET!F55</f>
        <v>48960</v>
      </c>
      <c r="H55" s="36">
        <f>BUDGET!G55</f>
        <v>20884.5</v>
      </c>
      <c r="I55" s="36">
        <f>BUDGET!H55</f>
        <v>11245.5</v>
      </c>
      <c r="J55" s="36">
        <f>BUDGET!I55</f>
        <v>3916.8</v>
      </c>
    </row>
    <row r="56" spans="1:10">
      <c r="A56" t="str">
        <f>BUDGET!A56</f>
        <v>Mai</v>
      </c>
      <c r="B56" s="51" cm="1">
        <f t="array" ref="B56">_xlfn.SWITCH(TRIM(A56),"Janvier",1,"Février",2,"Mars",3,"Avril",4,"Mai",5,"Juin",6,"Juillet",7,"Août",8,"Septembre",9,"Octobre",10,"Novembre",11,"Décembre",12,NA())</f>
        <v>5</v>
      </c>
      <c r="C56" t="str">
        <f>BUDGET!C56</f>
        <v>Sud</v>
      </c>
      <c r="D56" t="str">
        <f>BUDGET!D56</f>
        <v>Equipements</v>
      </c>
      <c r="E56" t="s">
        <v>48</v>
      </c>
      <c r="F56" s="35">
        <f>BUDGET!E56</f>
        <v>140</v>
      </c>
      <c r="G56" s="18">
        <f>BUDGET!F56</f>
        <v>44800</v>
      </c>
      <c r="H56" s="36">
        <f>BUDGET!G56</f>
        <v>19110</v>
      </c>
      <c r="I56" s="36">
        <f>BUDGET!H56</f>
        <v>10290</v>
      </c>
      <c r="J56" s="36">
        <f>BUDGET!I56</f>
        <v>3584</v>
      </c>
    </row>
    <row r="57" spans="1:10">
      <c r="A57" t="str">
        <f>BUDGET!A57</f>
        <v>Mai</v>
      </c>
      <c r="B57" s="51" cm="1">
        <f t="array" ref="B57">_xlfn.SWITCH(TRIM(A57),"Janvier",1,"Février",2,"Mars",3,"Avril",4,"Mai",5,"Juin",6,"Juillet",7,"Août",8,"Septembre",9,"Octobre",10,"Novembre",11,"Décembre",12,NA())</f>
        <v>5</v>
      </c>
      <c r="C57" t="str">
        <f>BUDGET!C57</f>
        <v>Export</v>
      </c>
      <c r="D57" t="str">
        <f>BUDGET!D57</f>
        <v>Equipements</v>
      </c>
      <c r="E57" t="s">
        <v>48</v>
      </c>
      <c r="F57" s="35">
        <f>BUDGET!E57</f>
        <v>102</v>
      </c>
      <c r="G57" s="18">
        <f>BUDGET!F57</f>
        <v>32640</v>
      </c>
      <c r="H57" s="36">
        <f>BUDGET!G57</f>
        <v>13923</v>
      </c>
      <c r="I57" s="36">
        <f>BUDGET!H57</f>
        <v>7496.9999999999991</v>
      </c>
      <c r="J57" s="36">
        <f>BUDGET!I57</f>
        <v>2611.2000000000003</v>
      </c>
    </row>
    <row r="58" spans="1:10">
      <c r="A58" t="str">
        <f>BUDGET!A58</f>
        <v>Mai</v>
      </c>
      <c r="B58" s="51" cm="1">
        <f t="array" ref="B58">_xlfn.SWITCH(TRIM(A58),"Janvier",1,"Février",2,"Mars",3,"Avril",4,"Mai",5,"Juin",6,"Juillet",7,"Août",8,"Septembre",9,"Octobre",10,"Novembre",11,"Décembre",12,NA())</f>
        <v>5</v>
      </c>
      <c r="C58" t="str">
        <f>BUDGET!C58</f>
        <v>IDF</v>
      </c>
      <c r="D58" t="str">
        <f>BUDGET!D58</f>
        <v>Services</v>
      </c>
      <c r="E58" t="s">
        <v>48</v>
      </c>
      <c r="F58" s="35">
        <f>BUDGET!E58</f>
        <v>149</v>
      </c>
      <c r="G58" s="18">
        <f>BUDGET!F58</f>
        <v>22350</v>
      </c>
      <c r="H58" s="36">
        <f>BUDGET!G58</f>
        <v>8716.5</v>
      </c>
      <c r="I58" s="36">
        <f>BUDGET!H58</f>
        <v>4693.5</v>
      </c>
      <c r="J58" s="36">
        <f>BUDGET!I58</f>
        <v>1788</v>
      </c>
    </row>
    <row r="59" spans="1:10">
      <c r="A59" t="str">
        <f>BUDGET!A59</f>
        <v>Mai</v>
      </c>
      <c r="B59" s="51" cm="1">
        <f t="array" ref="B59">_xlfn.SWITCH(TRIM(A59),"Janvier",1,"Février",2,"Mars",3,"Avril",4,"Mai",5,"Juin",6,"Juillet",7,"Août",8,"Septembre",9,"Octobre",10,"Novembre",11,"Décembre",12,NA())</f>
        <v>5</v>
      </c>
      <c r="C59" t="str">
        <f>BUDGET!C59</f>
        <v>Nord</v>
      </c>
      <c r="D59" t="str">
        <f>BUDGET!D59</f>
        <v>Services</v>
      </c>
      <c r="E59" t="s">
        <v>48</v>
      </c>
      <c r="F59" s="35">
        <f>BUDGET!E59</f>
        <v>94</v>
      </c>
      <c r="G59" s="18">
        <f>BUDGET!F59</f>
        <v>14100</v>
      </c>
      <c r="H59" s="36">
        <f>BUDGET!G59</f>
        <v>5499</v>
      </c>
      <c r="I59" s="36">
        <f>BUDGET!H59</f>
        <v>2961</v>
      </c>
      <c r="J59" s="36">
        <f>BUDGET!I59</f>
        <v>1128</v>
      </c>
    </row>
    <row r="60" spans="1:10">
      <c r="A60" t="str">
        <f>BUDGET!A60</f>
        <v>Mai</v>
      </c>
      <c r="B60" s="51" cm="1">
        <f t="array" ref="B60">_xlfn.SWITCH(TRIM(A60),"Janvier",1,"Février",2,"Mars",3,"Avril",4,"Mai",5,"Juin",6,"Juillet",7,"Août",8,"Septembre",9,"Octobre",10,"Novembre",11,"Décembre",12,NA())</f>
        <v>5</v>
      </c>
      <c r="C60" t="str">
        <f>BUDGET!C60</f>
        <v>Sud</v>
      </c>
      <c r="D60" t="str">
        <f>BUDGET!D60</f>
        <v>Services</v>
      </c>
      <c r="E60" t="s">
        <v>48</v>
      </c>
      <c r="F60" s="35">
        <f>BUDGET!E60</f>
        <v>86</v>
      </c>
      <c r="G60" s="18">
        <f>BUDGET!F60</f>
        <v>12900</v>
      </c>
      <c r="H60" s="36">
        <f>BUDGET!G60</f>
        <v>5031</v>
      </c>
      <c r="I60" s="36">
        <f>BUDGET!H60</f>
        <v>2709</v>
      </c>
      <c r="J60" s="36">
        <f>BUDGET!I60</f>
        <v>1032</v>
      </c>
    </row>
    <row r="61" spans="1:10">
      <c r="A61" t="str">
        <f>BUDGET!A61</f>
        <v>Mai</v>
      </c>
      <c r="B61" s="51" cm="1">
        <f t="array" ref="B61">_xlfn.SWITCH(TRIM(A61),"Janvier",1,"Février",2,"Mars",3,"Avril",4,"Mai",5,"Juin",6,"Juillet",7,"Août",8,"Septembre",9,"Octobre",10,"Novembre",11,"Décembre",12,NA())</f>
        <v>5</v>
      </c>
      <c r="C61" t="str">
        <f>BUDGET!C61</f>
        <v>Export</v>
      </c>
      <c r="D61" t="str">
        <f>BUDGET!D61</f>
        <v>Services</v>
      </c>
      <c r="E61" t="s">
        <v>48</v>
      </c>
      <c r="F61" s="35">
        <f>BUDGET!E61</f>
        <v>63</v>
      </c>
      <c r="G61" s="18">
        <f>BUDGET!F61</f>
        <v>9450</v>
      </c>
      <c r="H61" s="36">
        <f>BUDGET!G61</f>
        <v>3685.5</v>
      </c>
      <c r="I61" s="36">
        <f>BUDGET!H61</f>
        <v>1984.4999999999998</v>
      </c>
      <c r="J61" s="36">
        <f>BUDGET!I61</f>
        <v>756</v>
      </c>
    </row>
    <row r="62" spans="1:10">
      <c r="A62" t="str">
        <f>BUDGET!A62</f>
        <v>Juin</v>
      </c>
      <c r="B62" s="51" cm="1">
        <f t="array" ref="B62">_xlfn.SWITCH(TRIM(A62),"Janvier",1,"Février",2,"Mars",3,"Avril",4,"Mai",5,"Juin",6,"Juillet",7,"Août",8,"Septembre",9,"Octobre",10,"Novembre",11,"Décembre",12,NA())</f>
        <v>6</v>
      </c>
      <c r="C62" t="str">
        <f>BUDGET!C62</f>
        <v>IDF</v>
      </c>
      <c r="D62" t="str">
        <f>BUDGET!D62</f>
        <v>composants</v>
      </c>
      <c r="E62" t="s">
        <v>48</v>
      </c>
      <c r="F62" s="35">
        <f>BUDGET!E62</f>
        <v>2075</v>
      </c>
      <c r="G62" s="18">
        <f>BUDGET!F62</f>
        <v>93375</v>
      </c>
      <c r="H62" s="36">
        <f>BUDGET!G62</f>
        <v>37765</v>
      </c>
      <c r="I62" s="36">
        <f>BUDGET!H62</f>
        <v>20335</v>
      </c>
      <c r="J62" s="36">
        <f>BUDGET!I62</f>
        <v>7470</v>
      </c>
    </row>
    <row r="63" spans="1:10">
      <c r="A63" t="str">
        <f>BUDGET!A63</f>
        <v>Juin</v>
      </c>
      <c r="B63" s="51" cm="1">
        <f t="array" ref="B63">_xlfn.SWITCH(TRIM(A63),"Janvier",1,"Février",2,"Mars",3,"Avril",4,"Mai",5,"Juin",6,"Juillet",7,"Août",8,"Septembre",9,"Octobre",10,"Novembre",11,"Décembre",12,NA())</f>
        <v>6</v>
      </c>
      <c r="C63" t="str">
        <f>BUDGET!C63</f>
        <v>Nord</v>
      </c>
      <c r="D63" t="str">
        <f>BUDGET!D63</f>
        <v>composants</v>
      </c>
      <c r="E63" t="s">
        <v>48</v>
      </c>
      <c r="F63" s="35">
        <f>BUDGET!E63</f>
        <v>1310</v>
      </c>
      <c r="G63" s="18">
        <f>BUDGET!F63</f>
        <v>58950</v>
      </c>
      <c r="H63" s="36">
        <f>BUDGET!G63</f>
        <v>23842</v>
      </c>
      <c r="I63" s="36">
        <f>BUDGET!H63</f>
        <v>12838</v>
      </c>
      <c r="J63" s="36">
        <f>BUDGET!I63</f>
        <v>4716</v>
      </c>
    </row>
    <row r="64" spans="1:10">
      <c r="A64" t="str">
        <f>BUDGET!A64</f>
        <v>Juin</v>
      </c>
      <c r="B64" s="51" cm="1">
        <f t="array" ref="B64">_xlfn.SWITCH(TRIM(A64),"Janvier",1,"Février",2,"Mars",3,"Avril",4,"Mai",5,"Juin",6,"Juillet",7,"Août",8,"Septembre",9,"Octobre",10,"Novembre",11,"Décembre",12,NA())</f>
        <v>6</v>
      </c>
      <c r="C64" t="str">
        <f>BUDGET!C64</f>
        <v>Sud</v>
      </c>
      <c r="D64" t="str">
        <f>BUDGET!D64</f>
        <v>composants</v>
      </c>
      <c r="E64" t="s">
        <v>48</v>
      </c>
      <c r="F64" s="35">
        <f>BUDGET!E64</f>
        <v>1201</v>
      </c>
      <c r="G64" s="18">
        <f>BUDGET!F64</f>
        <v>54045</v>
      </c>
      <c r="H64" s="36">
        <f>BUDGET!G64</f>
        <v>21858.2</v>
      </c>
      <c r="I64" s="36">
        <f>BUDGET!H64</f>
        <v>11769.8</v>
      </c>
      <c r="J64" s="36">
        <f>BUDGET!I64</f>
        <v>4323.6000000000004</v>
      </c>
    </row>
    <row r="65" spans="1:10">
      <c r="A65" t="str">
        <f>BUDGET!A65</f>
        <v>Juin</v>
      </c>
      <c r="B65" s="51" cm="1">
        <f t="array" ref="B65">_xlfn.SWITCH(TRIM(A65),"Janvier",1,"Février",2,"Mars",3,"Avril",4,"Mai",5,"Juin",6,"Juillet",7,"Août",8,"Septembre",9,"Octobre",10,"Novembre",11,"Décembre",12,NA())</f>
        <v>6</v>
      </c>
      <c r="C65" t="str">
        <f>BUDGET!C65</f>
        <v>Export</v>
      </c>
      <c r="D65" t="str">
        <f>BUDGET!D65</f>
        <v>composants</v>
      </c>
      <c r="E65" t="s">
        <v>48</v>
      </c>
      <c r="F65" s="35">
        <f>BUDGET!E65</f>
        <v>874</v>
      </c>
      <c r="G65" s="18">
        <f>BUDGET!F65</f>
        <v>39330</v>
      </c>
      <c r="H65" s="36">
        <f>BUDGET!G65</f>
        <v>15906.800000000001</v>
      </c>
      <c r="I65" s="36">
        <f>BUDGET!H65</f>
        <v>8565.1999999999989</v>
      </c>
      <c r="J65" s="36">
        <f>BUDGET!I65</f>
        <v>3146.4</v>
      </c>
    </row>
    <row r="66" spans="1:10">
      <c r="A66" t="str">
        <f>BUDGET!A66</f>
        <v>Juin</v>
      </c>
      <c r="B66" s="51" cm="1">
        <f t="array" ref="B66">_xlfn.SWITCH(TRIM(A66),"Janvier",1,"Février",2,"Mars",3,"Avril",4,"Mai",5,"Juin",6,"Juillet",7,"Août",8,"Septembre",9,"Octobre",10,"Novembre",11,"Décembre",12,NA())</f>
        <v>6</v>
      </c>
      <c r="C66" t="str">
        <f>BUDGET!C66</f>
        <v>IDF</v>
      </c>
      <c r="D66" t="str">
        <f>BUDGET!D66</f>
        <v>Equipements</v>
      </c>
      <c r="E66" t="s">
        <v>48</v>
      </c>
      <c r="F66" s="35">
        <f>BUDGET!E66</f>
        <v>247</v>
      </c>
      <c r="G66" s="18">
        <f>BUDGET!F66</f>
        <v>79040</v>
      </c>
      <c r="H66" s="36">
        <f>BUDGET!G66</f>
        <v>33715.5</v>
      </c>
      <c r="I66" s="36">
        <f>BUDGET!H66</f>
        <v>18154.5</v>
      </c>
      <c r="J66" s="36">
        <f>BUDGET!I66</f>
        <v>6323.2</v>
      </c>
    </row>
    <row r="67" spans="1:10">
      <c r="A67" t="str">
        <f>BUDGET!A67</f>
        <v>Juin</v>
      </c>
      <c r="B67" s="51" cm="1">
        <f t="array" ref="B67">_xlfn.SWITCH(TRIM(A67),"Janvier",1,"Février",2,"Mars",3,"Avril",4,"Mai",5,"Juin",6,"Juillet",7,"Août",8,"Septembre",9,"Octobre",10,"Novembre",11,"Décembre",12,NA())</f>
        <v>6</v>
      </c>
      <c r="C67" t="str">
        <f>BUDGET!C67</f>
        <v>Nord</v>
      </c>
      <c r="D67" t="str">
        <f>BUDGET!D67</f>
        <v>Equipements</v>
      </c>
      <c r="E67" t="s">
        <v>48</v>
      </c>
      <c r="F67" s="35">
        <f>BUDGET!E67</f>
        <v>156</v>
      </c>
      <c r="G67" s="18">
        <f>BUDGET!F67</f>
        <v>49920</v>
      </c>
      <c r="H67" s="36">
        <f>BUDGET!G67</f>
        <v>21294</v>
      </c>
      <c r="I67" s="36">
        <f>BUDGET!H67</f>
        <v>11466</v>
      </c>
      <c r="J67" s="36">
        <f>BUDGET!I67</f>
        <v>3993.6</v>
      </c>
    </row>
    <row r="68" spans="1:10">
      <c r="A68" t="str">
        <f>BUDGET!A68</f>
        <v>Juin</v>
      </c>
      <c r="B68" s="51" cm="1">
        <f t="array" ref="B68">_xlfn.SWITCH(TRIM(A68),"Janvier",1,"Février",2,"Mars",3,"Avril",4,"Mai",5,"Juin",6,"Juillet",7,"Août",8,"Septembre",9,"Octobre",10,"Novembre",11,"Décembre",12,NA())</f>
        <v>6</v>
      </c>
      <c r="C68" t="str">
        <f>BUDGET!C68</f>
        <v>Sud</v>
      </c>
      <c r="D68" t="str">
        <f>BUDGET!D68</f>
        <v>Equipements</v>
      </c>
      <c r="E68" t="s">
        <v>48</v>
      </c>
      <c r="F68" s="35">
        <f>BUDGET!E68</f>
        <v>143</v>
      </c>
      <c r="G68" s="18">
        <f>BUDGET!F68</f>
        <v>45760</v>
      </c>
      <c r="H68" s="36">
        <f>BUDGET!G68</f>
        <v>19519.5</v>
      </c>
      <c r="I68" s="36">
        <f>BUDGET!H68</f>
        <v>10510.5</v>
      </c>
      <c r="J68" s="36">
        <f>BUDGET!I68</f>
        <v>3660.8</v>
      </c>
    </row>
    <row r="69" spans="1:10">
      <c r="A69" t="str">
        <f>BUDGET!A69</f>
        <v>Juin</v>
      </c>
      <c r="B69" s="51" cm="1">
        <f t="array" ref="B69">_xlfn.SWITCH(TRIM(A69),"Janvier",1,"Février",2,"Mars",3,"Avril",4,"Mai",5,"Juin",6,"Juillet",7,"Août",8,"Septembre",9,"Octobre",10,"Novembre",11,"Décembre",12,NA())</f>
        <v>6</v>
      </c>
      <c r="C69" t="str">
        <f>BUDGET!C69</f>
        <v>Export</v>
      </c>
      <c r="D69" t="str">
        <f>BUDGET!D69</f>
        <v>Equipements</v>
      </c>
      <c r="E69" t="s">
        <v>48</v>
      </c>
      <c r="F69" s="35">
        <f>BUDGET!E69</f>
        <v>104</v>
      </c>
      <c r="G69" s="18">
        <f>BUDGET!F69</f>
        <v>33280</v>
      </c>
      <c r="H69" s="36">
        <f>BUDGET!G69</f>
        <v>14196</v>
      </c>
      <c r="I69" s="36">
        <f>BUDGET!H69</f>
        <v>7643.9999999999991</v>
      </c>
      <c r="J69" s="36">
        <f>BUDGET!I69</f>
        <v>2662.4</v>
      </c>
    </row>
    <row r="70" spans="1:10">
      <c r="A70" t="str">
        <f>BUDGET!A70</f>
        <v>Juin</v>
      </c>
      <c r="B70" s="51" cm="1">
        <f t="array" ref="B70">_xlfn.SWITCH(TRIM(A70),"Janvier",1,"Février",2,"Mars",3,"Avril",4,"Mai",5,"Juin",6,"Juillet",7,"Août",8,"Septembre",9,"Octobre",10,"Novembre",11,"Décembre",12,NA())</f>
        <v>6</v>
      </c>
      <c r="C70" t="str">
        <f>BUDGET!C70</f>
        <v>IDF</v>
      </c>
      <c r="D70" t="str">
        <f>BUDGET!D70</f>
        <v>Services</v>
      </c>
      <c r="E70" t="s">
        <v>48</v>
      </c>
      <c r="F70" s="35">
        <f>BUDGET!E70</f>
        <v>152</v>
      </c>
      <c r="G70" s="18">
        <f>BUDGET!F70</f>
        <v>22800</v>
      </c>
      <c r="H70" s="36">
        <f>BUDGET!G70</f>
        <v>8892</v>
      </c>
      <c r="I70" s="36">
        <f>BUDGET!H70</f>
        <v>4788</v>
      </c>
      <c r="J70" s="36">
        <f>BUDGET!I70</f>
        <v>1824</v>
      </c>
    </row>
    <row r="71" spans="1:10">
      <c r="A71" t="str">
        <f>BUDGET!A71</f>
        <v>Juin</v>
      </c>
      <c r="B71" s="51" cm="1">
        <f t="array" ref="B71">_xlfn.SWITCH(TRIM(A71),"Janvier",1,"Février",2,"Mars",3,"Avril",4,"Mai",5,"Juin",6,"Juillet",7,"Août",8,"Septembre",9,"Octobre",10,"Novembre",11,"Décembre",12,NA())</f>
        <v>6</v>
      </c>
      <c r="C71" t="str">
        <f>BUDGET!C71</f>
        <v>Nord</v>
      </c>
      <c r="D71" t="str">
        <f>BUDGET!D71</f>
        <v>Services</v>
      </c>
      <c r="E71" t="s">
        <v>48</v>
      </c>
      <c r="F71" s="35">
        <f>BUDGET!E71</f>
        <v>96</v>
      </c>
      <c r="G71" s="18">
        <f>BUDGET!F71</f>
        <v>14400</v>
      </c>
      <c r="H71" s="36">
        <f>BUDGET!G71</f>
        <v>5616</v>
      </c>
      <c r="I71" s="36">
        <f>BUDGET!H71</f>
        <v>3024</v>
      </c>
      <c r="J71" s="36">
        <f>BUDGET!I71</f>
        <v>1152</v>
      </c>
    </row>
    <row r="72" spans="1:10">
      <c r="A72" t="str">
        <f>BUDGET!A72</f>
        <v>Juin</v>
      </c>
      <c r="B72" s="51" cm="1">
        <f t="array" ref="B72">_xlfn.SWITCH(TRIM(A72),"Janvier",1,"Février",2,"Mars",3,"Avril",4,"Mai",5,"Juin",6,"Juillet",7,"Août",8,"Septembre",9,"Octobre",10,"Novembre",11,"Décembre",12,NA())</f>
        <v>6</v>
      </c>
      <c r="C72" t="str">
        <f>BUDGET!C72</f>
        <v>Sud</v>
      </c>
      <c r="D72" t="str">
        <f>BUDGET!D72</f>
        <v>Services</v>
      </c>
      <c r="E72" t="s">
        <v>48</v>
      </c>
      <c r="F72" s="35">
        <f>BUDGET!E72</f>
        <v>88</v>
      </c>
      <c r="G72" s="18">
        <f>BUDGET!F72</f>
        <v>13200</v>
      </c>
      <c r="H72" s="36">
        <f>BUDGET!G72</f>
        <v>5148</v>
      </c>
      <c r="I72" s="36">
        <f>BUDGET!H72</f>
        <v>2772</v>
      </c>
      <c r="J72" s="36">
        <f>BUDGET!I72</f>
        <v>1056</v>
      </c>
    </row>
    <row r="73" spans="1:10">
      <c r="A73" t="str">
        <f>BUDGET!A73</f>
        <v>Juin</v>
      </c>
      <c r="B73" s="51" cm="1">
        <f t="array" ref="B73">_xlfn.SWITCH(TRIM(A73),"Janvier",1,"Février",2,"Mars",3,"Avril",4,"Mai",5,"Juin",6,"Juillet",7,"Août",8,"Septembre",9,"Octobre",10,"Novembre",11,"Décembre",12,NA())</f>
        <v>6</v>
      </c>
      <c r="C73" t="str">
        <f>BUDGET!C73</f>
        <v>Export</v>
      </c>
      <c r="D73" t="str">
        <f>BUDGET!D73</f>
        <v>Services</v>
      </c>
      <c r="E73" t="s">
        <v>48</v>
      </c>
      <c r="F73" s="35">
        <f>BUDGET!E73</f>
        <v>64</v>
      </c>
      <c r="G73" s="18">
        <f>BUDGET!F73</f>
        <v>9600</v>
      </c>
      <c r="H73" s="36">
        <f>BUDGET!G73</f>
        <v>3744</v>
      </c>
      <c r="I73" s="36">
        <f>BUDGET!H73</f>
        <v>2015.9999999999998</v>
      </c>
      <c r="J73" s="36">
        <f>BUDGET!I73</f>
        <v>768</v>
      </c>
    </row>
    <row r="74" spans="1:10">
      <c r="A74" t="str">
        <f>BUDGET!A74</f>
        <v>Juillet</v>
      </c>
      <c r="B74" s="51" cm="1">
        <f t="array" ref="B74">_xlfn.SWITCH(TRIM(A74),"Janvier",1,"Février",2,"Mars",3,"Avril",4,"Mai",5,"Juin",6,"Juillet",7,"Août",8,"Septembre",9,"Octobre",10,"Novembre",11,"Décembre",12,NA())</f>
        <v>7</v>
      </c>
      <c r="C74" t="str">
        <f>BUDGET!C74</f>
        <v>IDF</v>
      </c>
      <c r="D74" t="str">
        <f>BUDGET!D74</f>
        <v>composants</v>
      </c>
      <c r="E74" t="s">
        <v>48</v>
      </c>
      <c r="F74" s="35">
        <f>BUDGET!E74</f>
        <v>1877</v>
      </c>
      <c r="G74" s="18">
        <f>BUDGET!F74</f>
        <v>84465</v>
      </c>
      <c r="H74" s="36">
        <f>BUDGET!G74</f>
        <v>34161.4</v>
      </c>
      <c r="I74" s="36">
        <f>BUDGET!H74</f>
        <v>18394.599999999999</v>
      </c>
      <c r="J74" s="36">
        <f>BUDGET!I74</f>
        <v>6757.2</v>
      </c>
    </row>
    <row r="75" spans="1:10">
      <c r="A75" t="str">
        <f>BUDGET!A75</f>
        <v>Juillet</v>
      </c>
      <c r="B75" s="51" cm="1">
        <f t="array" ref="B75">_xlfn.SWITCH(TRIM(A75),"Janvier",1,"Février",2,"Mars",3,"Avril",4,"Mai",5,"Juin",6,"Juillet",7,"Août",8,"Septembre",9,"Octobre",10,"Novembre",11,"Décembre",12,NA())</f>
        <v>7</v>
      </c>
      <c r="C75" t="str">
        <f>BUDGET!C75</f>
        <v>Nord</v>
      </c>
      <c r="D75" t="str">
        <f>BUDGET!D75</f>
        <v>composants</v>
      </c>
      <c r="E75" t="s">
        <v>48</v>
      </c>
      <c r="F75" s="35">
        <f>BUDGET!E75</f>
        <v>1186</v>
      </c>
      <c r="G75" s="18">
        <f>BUDGET!F75</f>
        <v>53370</v>
      </c>
      <c r="H75" s="36">
        <f>BUDGET!G75</f>
        <v>21585.200000000001</v>
      </c>
      <c r="I75" s="36">
        <f>BUDGET!H75</f>
        <v>11622.8</v>
      </c>
      <c r="J75" s="36">
        <f>BUDGET!I75</f>
        <v>4269.6000000000004</v>
      </c>
    </row>
    <row r="76" spans="1:10">
      <c r="A76" t="str">
        <f>BUDGET!A76</f>
        <v>Juillet</v>
      </c>
      <c r="B76" s="51" cm="1">
        <f t="array" ref="B76">_xlfn.SWITCH(TRIM(A76),"Janvier",1,"Février",2,"Mars",3,"Avril",4,"Mai",5,"Juin",6,"Juillet",7,"Août",8,"Septembre",9,"Octobre",10,"Novembre",11,"Décembre",12,NA())</f>
        <v>7</v>
      </c>
      <c r="C76" t="str">
        <f>BUDGET!C76</f>
        <v>Sud</v>
      </c>
      <c r="D76" t="str">
        <f>BUDGET!D76</f>
        <v>composants</v>
      </c>
      <c r="E76" t="s">
        <v>48</v>
      </c>
      <c r="F76" s="35">
        <f>BUDGET!E76</f>
        <v>1087</v>
      </c>
      <c r="G76" s="18">
        <f>BUDGET!F76</f>
        <v>48915</v>
      </c>
      <c r="H76" s="36">
        <f>BUDGET!G76</f>
        <v>19783.400000000001</v>
      </c>
      <c r="I76" s="36">
        <f>BUDGET!H76</f>
        <v>10652.599999999999</v>
      </c>
      <c r="J76" s="36">
        <f>BUDGET!I76</f>
        <v>3913.2000000000003</v>
      </c>
    </row>
    <row r="77" spans="1:10">
      <c r="A77" t="str">
        <f>BUDGET!A77</f>
        <v>Juillet</v>
      </c>
      <c r="B77" s="51" cm="1">
        <f t="array" ref="B77">_xlfn.SWITCH(TRIM(A77),"Janvier",1,"Février",2,"Mars",3,"Avril",4,"Mai",5,"Juin",6,"Juillet",7,"Août",8,"Septembre",9,"Octobre",10,"Novembre",11,"Décembre",12,NA())</f>
        <v>7</v>
      </c>
      <c r="C77" t="str">
        <f>BUDGET!C77</f>
        <v>Export</v>
      </c>
      <c r="D77" t="str">
        <f>BUDGET!D77</f>
        <v>composants</v>
      </c>
      <c r="E77" t="s">
        <v>48</v>
      </c>
      <c r="F77" s="35">
        <f>BUDGET!E77</f>
        <v>790</v>
      </c>
      <c r="G77" s="18">
        <f>BUDGET!F77</f>
        <v>35550</v>
      </c>
      <c r="H77" s="36">
        <f>BUDGET!G77</f>
        <v>14378</v>
      </c>
      <c r="I77" s="36">
        <f>BUDGET!H77</f>
        <v>7741.9999999999991</v>
      </c>
      <c r="J77" s="36">
        <f>BUDGET!I77</f>
        <v>2844</v>
      </c>
    </row>
    <row r="78" spans="1:10">
      <c r="A78" t="str">
        <f>BUDGET!A78</f>
        <v>Juillet</v>
      </c>
      <c r="B78" s="51" cm="1">
        <f t="array" ref="B78">_xlfn.SWITCH(TRIM(A78),"Janvier",1,"Février",2,"Mars",3,"Avril",4,"Mai",5,"Juin",6,"Juillet",7,"Août",8,"Septembre",9,"Octobre",10,"Novembre",11,"Décembre",12,NA())</f>
        <v>7</v>
      </c>
      <c r="C78" t="str">
        <f>BUDGET!C78</f>
        <v>IDF</v>
      </c>
      <c r="D78" t="str">
        <f>BUDGET!D78</f>
        <v>Equipements</v>
      </c>
      <c r="E78" t="s">
        <v>48</v>
      </c>
      <c r="F78" s="35">
        <f>BUDGET!E78</f>
        <v>224</v>
      </c>
      <c r="G78" s="18">
        <f>BUDGET!F78</f>
        <v>71680</v>
      </c>
      <c r="H78" s="36">
        <f>BUDGET!G78</f>
        <v>30576</v>
      </c>
      <c r="I78" s="36">
        <f>BUDGET!H78</f>
        <v>16464</v>
      </c>
      <c r="J78" s="36">
        <f>BUDGET!I78</f>
        <v>5734.4000000000005</v>
      </c>
    </row>
    <row r="79" spans="1:10">
      <c r="A79" t="str">
        <f>BUDGET!A79</f>
        <v>Juillet</v>
      </c>
      <c r="B79" s="51" cm="1">
        <f t="array" ref="B79">_xlfn.SWITCH(TRIM(A79),"Janvier",1,"Février",2,"Mars",3,"Avril",4,"Mai",5,"Juin",6,"Juillet",7,"Août",8,"Septembre",9,"Octobre",10,"Novembre",11,"Décembre",12,NA())</f>
        <v>7</v>
      </c>
      <c r="C79" t="str">
        <f>BUDGET!C79</f>
        <v>Nord</v>
      </c>
      <c r="D79" t="str">
        <f>BUDGET!D79</f>
        <v>Equipements</v>
      </c>
      <c r="E79" t="s">
        <v>48</v>
      </c>
      <c r="F79" s="35">
        <f>BUDGET!E79</f>
        <v>141</v>
      </c>
      <c r="G79" s="18">
        <f>BUDGET!F79</f>
        <v>45120</v>
      </c>
      <c r="H79" s="36">
        <f>BUDGET!G79</f>
        <v>19246.5</v>
      </c>
      <c r="I79" s="36">
        <f>BUDGET!H79</f>
        <v>10363.5</v>
      </c>
      <c r="J79" s="36">
        <f>BUDGET!I79</f>
        <v>3609.6</v>
      </c>
    </row>
    <row r="80" spans="1:10">
      <c r="A80" t="str">
        <f>BUDGET!A80</f>
        <v>Juillet</v>
      </c>
      <c r="B80" s="51" cm="1">
        <f t="array" ref="B80">_xlfn.SWITCH(TRIM(A80),"Janvier",1,"Février",2,"Mars",3,"Avril",4,"Mai",5,"Juin",6,"Juillet",7,"Août",8,"Septembre",9,"Octobre",10,"Novembre",11,"Décembre",12,NA())</f>
        <v>7</v>
      </c>
      <c r="C80" t="str">
        <f>BUDGET!C80</f>
        <v>Sud</v>
      </c>
      <c r="D80" t="str">
        <f>BUDGET!D80</f>
        <v>Equipements</v>
      </c>
      <c r="E80" t="s">
        <v>48</v>
      </c>
      <c r="F80" s="35">
        <f>BUDGET!E80</f>
        <v>130</v>
      </c>
      <c r="G80" s="18">
        <f>BUDGET!F80</f>
        <v>41600</v>
      </c>
      <c r="H80" s="36">
        <f>BUDGET!G80</f>
        <v>17745</v>
      </c>
      <c r="I80" s="36">
        <f>BUDGET!H80</f>
        <v>9555</v>
      </c>
      <c r="J80" s="36">
        <f>BUDGET!I80</f>
        <v>3328</v>
      </c>
    </row>
    <row r="81" spans="1:10">
      <c r="A81" t="str">
        <f>BUDGET!A81</f>
        <v>Juillet</v>
      </c>
      <c r="B81" s="51" cm="1">
        <f t="array" ref="B81">_xlfn.SWITCH(TRIM(A81),"Janvier",1,"Février",2,"Mars",3,"Avril",4,"Mai",5,"Juin",6,"Juillet",7,"Août",8,"Septembre",9,"Octobre",10,"Novembre",11,"Décembre",12,NA())</f>
        <v>7</v>
      </c>
      <c r="C81" t="str">
        <f>BUDGET!C81</f>
        <v>Export</v>
      </c>
      <c r="D81" t="str">
        <f>BUDGET!D81</f>
        <v>Equipements</v>
      </c>
      <c r="E81" t="s">
        <v>48</v>
      </c>
      <c r="F81" s="35">
        <f>BUDGET!E81</f>
        <v>94</v>
      </c>
      <c r="G81" s="18">
        <f>BUDGET!F81</f>
        <v>30080</v>
      </c>
      <c r="H81" s="36">
        <f>BUDGET!G81</f>
        <v>12831</v>
      </c>
      <c r="I81" s="36">
        <f>BUDGET!H81</f>
        <v>6909</v>
      </c>
      <c r="J81" s="36">
        <f>BUDGET!I81</f>
        <v>2406.4</v>
      </c>
    </row>
    <row r="82" spans="1:10">
      <c r="A82" t="str">
        <f>BUDGET!A82</f>
        <v>Juillet</v>
      </c>
      <c r="B82" s="51" cm="1">
        <f t="array" ref="B82">_xlfn.SWITCH(TRIM(A82),"Janvier",1,"Février",2,"Mars",3,"Avril",4,"Mai",5,"Juin",6,"Juillet",7,"Août",8,"Septembre",9,"Octobre",10,"Novembre",11,"Décembre",12,NA())</f>
        <v>7</v>
      </c>
      <c r="C82" t="str">
        <f>BUDGET!C82</f>
        <v>IDF</v>
      </c>
      <c r="D82" t="str">
        <f>BUDGET!D82</f>
        <v>Services</v>
      </c>
      <c r="E82" t="s">
        <v>48</v>
      </c>
      <c r="F82" s="35">
        <f>BUDGET!E82</f>
        <v>137</v>
      </c>
      <c r="G82" s="18">
        <f>BUDGET!F82</f>
        <v>20550</v>
      </c>
      <c r="H82" s="36">
        <f>BUDGET!G82</f>
        <v>8014.5</v>
      </c>
      <c r="I82" s="36">
        <f>BUDGET!H82</f>
        <v>4315.5</v>
      </c>
      <c r="J82" s="36">
        <f>BUDGET!I82</f>
        <v>1644</v>
      </c>
    </row>
    <row r="83" spans="1:10">
      <c r="A83" t="str">
        <f>BUDGET!A83</f>
        <v>Juillet</v>
      </c>
      <c r="B83" s="51" cm="1">
        <f t="array" ref="B83">_xlfn.SWITCH(TRIM(A83),"Janvier",1,"Février",2,"Mars",3,"Avril",4,"Mai",5,"Juin",6,"Juillet",7,"Août",8,"Septembre",9,"Octobre",10,"Novembre",11,"Décembre",12,NA())</f>
        <v>7</v>
      </c>
      <c r="C83" t="str">
        <f>BUDGET!C83</f>
        <v>Nord</v>
      </c>
      <c r="D83" t="str">
        <f>BUDGET!D83</f>
        <v>Services</v>
      </c>
      <c r="E83" t="s">
        <v>48</v>
      </c>
      <c r="F83" s="35">
        <f>BUDGET!E83</f>
        <v>87</v>
      </c>
      <c r="G83" s="18">
        <f>BUDGET!F83</f>
        <v>13050</v>
      </c>
      <c r="H83" s="36">
        <f>BUDGET!G83</f>
        <v>5089.5</v>
      </c>
      <c r="I83" s="36">
        <f>BUDGET!H83</f>
        <v>2740.5</v>
      </c>
      <c r="J83" s="36">
        <f>BUDGET!I83</f>
        <v>1044</v>
      </c>
    </row>
    <row r="84" spans="1:10">
      <c r="A84" t="str">
        <f>BUDGET!A84</f>
        <v>Juillet</v>
      </c>
      <c r="B84" s="51" cm="1">
        <f t="array" ref="B84">_xlfn.SWITCH(TRIM(A84),"Janvier",1,"Février",2,"Mars",3,"Avril",4,"Mai",5,"Juin",6,"Juillet",7,"Août",8,"Septembre",9,"Octobre",10,"Novembre",11,"Décembre",12,NA())</f>
        <v>7</v>
      </c>
      <c r="C84" t="str">
        <f>BUDGET!C84</f>
        <v>Sud</v>
      </c>
      <c r="D84" t="str">
        <f>BUDGET!D84</f>
        <v>Services</v>
      </c>
      <c r="E84" t="s">
        <v>48</v>
      </c>
      <c r="F84" s="35">
        <f>BUDGET!E84</f>
        <v>79</v>
      </c>
      <c r="G84" s="18">
        <f>BUDGET!F84</f>
        <v>11850</v>
      </c>
      <c r="H84" s="36">
        <f>BUDGET!G84</f>
        <v>4621.5</v>
      </c>
      <c r="I84" s="36">
        <f>BUDGET!H84</f>
        <v>2488.5</v>
      </c>
      <c r="J84" s="36">
        <f>BUDGET!I84</f>
        <v>948</v>
      </c>
    </row>
    <row r="85" spans="1:10">
      <c r="A85" t="str">
        <f>BUDGET!A85</f>
        <v>Juillet</v>
      </c>
      <c r="B85" s="51" cm="1">
        <f t="array" ref="B85">_xlfn.SWITCH(TRIM(A85),"Janvier",1,"Février",2,"Mars",3,"Avril",4,"Mai",5,"Juin",6,"Juillet",7,"Août",8,"Septembre",9,"Octobre",10,"Novembre",11,"Décembre",12,NA())</f>
        <v>7</v>
      </c>
      <c r="C85" t="str">
        <f>BUDGET!C85</f>
        <v>Export</v>
      </c>
      <c r="D85" t="str">
        <f>BUDGET!D85</f>
        <v>Services</v>
      </c>
      <c r="E85" t="s">
        <v>48</v>
      </c>
      <c r="F85" s="35">
        <f>BUDGET!E85</f>
        <v>58</v>
      </c>
      <c r="G85" s="18">
        <f>BUDGET!F85</f>
        <v>8700</v>
      </c>
      <c r="H85" s="36">
        <f>BUDGET!G85</f>
        <v>3393</v>
      </c>
      <c r="I85" s="36">
        <f>BUDGET!H85</f>
        <v>1826.9999999999998</v>
      </c>
      <c r="J85" s="36">
        <f>BUDGET!I85</f>
        <v>696</v>
      </c>
    </row>
    <row r="86" spans="1:10">
      <c r="A86" t="str">
        <f>BUDGET!A86</f>
        <v xml:space="preserve">Août </v>
      </c>
      <c r="B86" s="51" cm="1">
        <f t="array" ref="B86">_xlfn.SWITCH(TRIM(A86),"Janvier",1,"Février",2,"Mars",3,"Avril",4,"Mai",5,"Juin",6,"Juillet",7,"Août",8,"Septembre",9,"Octobre",10,"Novembre",11,"Décembre",12,NA())</f>
        <v>8</v>
      </c>
      <c r="C86" t="str">
        <f>BUDGET!C86</f>
        <v>IDF</v>
      </c>
      <c r="D86" t="str">
        <f>BUDGET!D86</f>
        <v>composants</v>
      </c>
      <c r="E86" t="s">
        <v>48</v>
      </c>
      <c r="F86" s="35">
        <f>BUDGET!E86</f>
        <v>1087</v>
      </c>
      <c r="G86" s="18">
        <f>BUDGET!F86</f>
        <v>48915</v>
      </c>
      <c r="H86" s="36">
        <f>BUDGET!G86</f>
        <v>19783.400000000001</v>
      </c>
      <c r="I86" s="36">
        <f>BUDGET!H86</f>
        <v>10652.599999999999</v>
      </c>
      <c r="J86" s="36">
        <f>BUDGET!I86</f>
        <v>3913.2000000000003</v>
      </c>
    </row>
    <row r="87" spans="1:10">
      <c r="A87" t="str">
        <f>BUDGET!A87</f>
        <v xml:space="preserve">Août </v>
      </c>
      <c r="B87" s="51" cm="1">
        <f t="array" ref="B87">_xlfn.SWITCH(TRIM(A87),"Janvier",1,"Février",2,"Mars",3,"Avril",4,"Mai",5,"Juin",6,"Juillet",7,"Août",8,"Septembre",9,"Octobre",10,"Novembre",11,"Décembre",12,NA())</f>
        <v>8</v>
      </c>
      <c r="C87" t="str">
        <f>BUDGET!C87</f>
        <v>Nord</v>
      </c>
      <c r="D87" t="str">
        <f>BUDGET!D87</f>
        <v>composants</v>
      </c>
      <c r="E87" t="s">
        <v>48</v>
      </c>
      <c r="F87" s="35">
        <f>BUDGET!E87</f>
        <v>686</v>
      </c>
      <c r="G87" s="18">
        <f>BUDGET!F87</f>
        <v>30870</v>
      </c>
      <c r="H87" s="36">
        <f>BUDGET!G87</f>
        <v>12485.2</v>
      </c>
      <c r="I87" s="36">
        <f>BUDGET!H87</f>
        <v>6722.7999999999993</v>
      </c>
      <c r="J87" s="36">
        <f>BUDGET!I87</f>
        <v>2469.6</v>
      </c>
    </row>
    <row r="88" spans="1:10">
      <c r="A88" t="str">
        <f>BUDGET!A88</f>
        <v xml:space="preserve">Août </v>
      </c>
      <c r="B88" s="51" cm="1">
        <f t="array" ref="B88">_xlfn.SWITCH(TRIM(A88),"Janvier",1,"Février",2,"Mars",3,"Avril",4,"Mai",5,"Juin",6,"Juillet",7,"Août",8,"Septembre",9,"Octobre",10,"Novembre",11,"Décembre",12,NA())</f>
        <v>8</v>
      </c>
      <c r="C88" t="str">
        <f>BUDGET!C88</f>
        <v>Sud</v>
      </c>
      <c r="D88" t="str">
        <f>BUDGET!D88</f>
        <v>composants</v>
      </c>
      <c r="E88" t="s">
        <v>48</v>
      </c>
      <c r="F88" s="35">
        <f>BUDGET!E88</f>
        <v>629</v>
      </c>
      <c r="G88" s="18">
        <f>BUDGET!F88</f>
        <v>28305</v>
      </c>
      <c r="H88" s="36">
        <f>BUDGET!G88</f>
        <v>11447.800000000001</v>
      </c>
      <c r="I88" s="36">
        <f>BUDGET!H88</f>
        <v>6164.2</v>
      </c>
      <c r="J88" s="36">
        <f>BUDGET!I88</f>
        <v>2264.4</v>
      </c>
    </row>
    <row r="89" spans="1:10">
      <c r="A89" t="str">
        <f>BUDGET!A89</f>
        <v xml:space="preserve">Août </v>
      </c>
      <c r="B89" s="51" cm="1">
        <f t="array" ref="B89">_xlfn.SWITCH(TRIM(A89),"Janvier",1,"Février",2,"Mars",3,"Avril",4,"Mai",5,"Juin",6,"Juillet",7,"Août",8,"Septembre",9,"Octobre",10,"Novembre",11,"Décembre",12,NA())</f>
        <v>8</v>
      </c>
      <c r="C89" t="str">
        <f>BUDGET!C89</f>
        <v>Export</v>
      </c>
      <c r="D89" t="str">
        <f>BUDGET!D89</f>
        <v>composants</v>
      </c>
      <c r="E89" t="s">
        <v>48</v>
      </c>
      <c r="F89" s="35">
        <f>BUDGET!E89</f>
        <v>458</v>
      </c>
      <c r="G89" s="18">
        <f>BUDGET!F89</f>
        <v>20610</v>
      </c>
      <c r="H89" s="36">
        <f>BUDGET!G89</f>
        <v>8335.6</v>
      </c>
      <c r="I89" s="36">
        <f>BUDGET!H89</f>
        <v>4488.3999999999996</v>
      </c>
      <c r="J89" s="36">
        <f>BUDGET!I89</f>
        <v>1648.8</v>
      </c>
    </row>
    <row r="90" spans="1:10">
      <c r="A90" t="str">
        <f>BUDGET!A90</f>
        <v xml:space="preserve">Août </v>
      </c>
      <c r="B90" s="51" cm="1">
        <f t="array" ref="B90">_xlfn.SWITCH(TRIM(A90),"Janvier",1,"Février",2,"Mars",3,"Avril",4,"Mai",5,"Juin",6,"Juillet",7,"Août",8,"Septembre",9,"Octobre",10,"Novembre",11,"Décembre",12,NA())</f>
        <v>8</v>
      </c>
      <c r="C90" t="str">
        <f>BUDGET!C90</f>
        <v>IDF</v>
      </c>
      <c r="D90" t="str">
        <f>BUDGET!D90</f>
        <v>Equipements</v>
      </c>
      <c r="E90" t="s">
        <v>48</v>
      </c>
      <c r="F90" s="35">
        <f>BUDGET!E90</f>
        <v>130</v>
      </c>
      <c r="G90" s="18">
        <f>BUDGET!F90</f>
        <v>41600</v>
      </c>
      <c r="H90" s="36">
        <f>BUDGET!G90</f>
        <v>17745</v>
      </c>
      <c r="I90" s="36">
        <f>BUDGET!H90</f>
        <v>9555</v>
      </c>
      <c r="J90" s="36">
        <f>BUDGET!I90</f>
        <v>3328</v>
      </c>
    </row>
    <row r="91" spans="1:10">
      <c r="A91" t="str">
        <f>BUDGET!A91</f>
        <v xml:space="preserve">Août </v>
      </c>
      <c r="B91" s="51" cm="1">
        <f t="array" ref="B91">_xlfn.SWITCH(TRIM(A91),"Janvier",1,"Février",2,"Mars",3,"Avril",4,"Mai",5,"Juin",6,"Juillet",7,"Août",8,"Septembre",9,"Octobre",10,"Novembre",11,"Décembre",12,NA())</f>
        <v>8</v>
      </c>
      <c r="C91" t="str">
        <f>BUDGET!C91</f>
        <v>Nord</v>
      </c>
      <c r="D91" t="str">
        <f>BUDGET!D91</f>
        <v>Equipements</v>
      </c>
      <c r="E91" t="s">
        <v>48</v>
      </c>
      <c r="F91" s="35">
        <f>BUDGET!E91</f>
        <v>82</v>
      </c>
      <c r="G91" s="18">
        <f>BUDGET!F91</f>
        <v>26240</v>
      </c>
      <c r="H91" s="36">
        <f>BUDGET!G91</f>
        <v>11193</v>
      </c>
      <c r="I91" s="36">
        <f>BUDGET!H91</f>
        <v>6027</v>
      </c>
      <c r="J91" s="36">
        <f>BUDGET!I91</f>
        <v>2099.1999999999998</v>
      </c>
    </row>
    <row r="92" spans="1:10">
      <c r="A92" t="str">
        <f>BUDGET!A92</f>
        <v xml:space="preserve">Août </v>
      </c>
      <c r="B92" s="51" cm="1">
        <f t="array" ref="B92">_xlfn.SWITCH(TRIM(A92),"Janvier",1,"Février",2,"Mars",3,"Avril",4,"Mai",5,"Juin",6,"Juillet",7,"Août",8,"Septembre",9,"Octobre",10,"Novembre",11,"Décembre",12,NA())</f>
        <v>8</v>
      </c>
      <c r="C92" t="str">
        <f>BUDGET!C92</f>
        <v>Sud</v>
      </c>
      <c r="D92" t="str">
        <f>BUDGET!D92</f>
        <v>Equipements</v>
      </c>
      <c r="E92" t="s">
        <v>48</v>
      </c>
      <c r="F92" s="35">
        <f>BUDGET!E92</f>
        <v>75</v>
      </c>
      <c r="G92" s="18">
        <f>BUDGET!F92</f>
        <v>24000</v>
      </c>
      <c r="H92" s="36">
        <f>BUDGET!G92</f>
        <v>10237.5</v>
      </c>
      <c r="I92" s="36">
        <f>BUDGET!H92</f>
        <v>5512.5</v>
      </c>
      <c r="J92" s="36">
        <f>BUDGET!I92</f>
        <v>1920</v>
      </c>
    </row>
    <row r="93" spans="1:10">
      <c r="A93" t="str">
        <f>BUDGET!A93</f>
        <v xml:space="preserve">Août </v>
      </c>
      <c r="B93" s="51" cm="1">
        <f t="array" ref="B93">_xlfn.SWITCH(TRIM(A93),"Janvier",1,"Février",2,"Mars",3,"Avril",4,"Mai",5,"Juin",6,"Juillet",7,"Août",8,"Septembre",9,"Octobre",10,"Novembre",11,"Décembre",12,NA())</f>
        <v>8</v>
      </c>
      <c r="C93" t="str">
        <f>BUDGET!C93</f>
        <v>Export</v>
      </c>
      <c r="D93" t="str">
        <f>BUDGET!D93</f>
        <v>Equipements</v>
      </c>
      <c r="E93" t="s">
        <v>48</v>
      </c>
      <c r="F93" s="35">
        <f>BUDGET!E93</f>
        <v>55</v>
      </c>
      <c r="G93" s="18">
        <f>BUDGET!F93</f>
        <v>17600</v>
      </c>
      <c r="H93" s="36">
        <f>BUDGET!G93</f>
        <v>7507.5</v>
      </c>
      <c r="I93" s="36">
        <f>BUDGET!H93</f>
        <v>4042.4999999999995</v>
      </c>
      <c r="J93" s="36">
        <f>BUDGET!I93</f>
        <v>1408</v>
      </c>
    </row>
    <row r="94" spans="1:10">
      <c r="A94" t="str">
        <f>BUDGET!A94</f>
        <v xml:space="preserve">Août </v>
      </c>
      <c r="B94" s="51" cm="1">
        <f t="array" ref="B94">_xlfn.SWITCH(TRIM(A94),"Janvier",1,"Février",2,"Mars",3,"Avril",4,"Mai",5,"Juin",6,"Juillet",7,"Août",8,"Septembre",9,"Octobre",10,"Novembre",11,"Décembre",12,NA())</f>
        <v>8</v>
      </c>
      <c r="C94" t="str">
        <f>BUDGET!C94</f>
        <v>IDF</v>
      </c>
      <c r="D94" t="str">
        <f>BUDGET!D94</f>
        <v>Services</v>
      </c>
      <c r="E94" t="s">
        <v>48</v>
      </c>
      <c r="F94" s="35">
        <f>BUDGET!E94</f>
        <v>79</v>
      </c>
      <c r="G94" s="18">
        <f>BUDGET!F94</f>
        <v>11850</v>
      </c>
      <c r="H94" s="36">
        <f>BUDGET!G94</f>
        <v>4621.5</v>
      </c>
      <c r="I94" s="36">
        <f>BUDGET!H94</f>
        <v>2488.5</v>
      </c>
      <c r="J94" s="36">
        <f>BUDGET!I94</f>
        <v>948</v>
      </c>
    </row>
    <row r="95" spans="1:10">
      <c r="A95" t="str">
        <f>BUDGET!A95</f>
        <v xml:space="preserve">Août </v>
      </c>
      <c r="B95" s="51" cm="1">
        <f t="array" ref="B95">_xlfn.SWITCH(TRIM(A95),"Janvier",1,"Février",2,"Mars",3,"Avril",4,"Mai",5,"Juin",6,"Juillet",7,"Août",8,"Septembre",9,"Octobre",10,"Novembre",11,"Décembre",12,NA())</f>
        <v>8</v>
      </c>
      <c r="C95" t="str">
        <f>BUDGET!C95</f>
        <v>Nord</v>
      </c>
      <c r="D95" t="str">
        <f>BUDGET!D95</f>
        <v>Services</v>
      </c>
      <c r="E95" t="s">
        <v>48</v>
      </c>
      <c r="F95" s="35">
        <f>BUDGET!E95</f>
        <v>50</v>
      </c>
      <c r="G95" s="18">
        <f>BUDGET!F95</f>
        <v>7500</v>
      </c>
      <c r="H95" s="36">
        <f>BUDGET!G95</f>
        <v>2925</v>
      </c>
      <c r="I95" s="36">
        <f>BUDGET!H95</f>
        <v>1575</v>
      </c>
      <c r="J95" s="36">
        <f>BUDGET!I95</f>
        <v>600</v>
      </c>
    </row>
    <row r="96" spans="1:10">
      <c r="A96" t="str">
        <f>BUDGET!A96</f>
        <v xml:space="preserve">Août </v>
      </c>
      <c r="B96" s="51" cm="1">
        <f t="array" ref="B96">_xlfn.SWITCH(TRIM(A96),"Janvier",1,"Février",2,"Mars",3,"Avril",4,"Mai",5,"Juin",6,"Juillet",7,"Août",8,"Septembre",9,"Octobre",10,"Novembre",11,"Décembre",12,NA())</f>
        <v>8</v>
      </c>
      <c r="C96" t="str">
        <f>BUDGET!C96</f>
        <v>Sud</v>
      </c>
      <c r="D96" t="str">
        <f>BUDGET!D96</f>
        <v>Services</v>
      </c>
      <c r="E96" t="s">
        <v>48</v>
      </c>
      <c r="F96" s="35">
        <f>BUDGET!E96</f>
        <v>46</v>
      </c>
      <c r="G96" s="18">
        <f>BUDGET!F96</f>
        <v>6900</v>
      </c>
      <c r="H96" s="36">
        <f>BUDGET!G96</f>
        <v>2691</v>
      </c>
      <c r="I96" s="36">
        <f>BUDGET!H96</f>
        <v>1449</v>
      </c>
      <c r="J96" s="36">
        <f>BUDGET!I96</f>
        <v>552</v>
      </c>
    </row>
    <row r="97" spans="1:10">
      <c r="A97" t="str">
        <f>BUDGET!A97</f>
        <v xml:space="preserve">Août </v>
      </c>
      <c r="B97" s="51" cm="1">
        <f t="array" ref="B97">_xlfn.SWITCH(TRIM(A97),"Janvier",1,"Février",2,"Mars",3,"Avril",4,"Mai",5,"Juin",6,"Juillet",7,"Août",8,"Septembre",9,"Octobre",10,"Novembre",11,"Décembre",12,NA())</f>
        <v>8</v>
      </c>
      <c r="C97" t="str">
        <f>BUDGET!C97</f>
        <v>Export</v>
      </c>
      <c r="D97" t="str">
        <f>BUDGET!D97</f>
        <v>Services</v>
      </c>
      <c r="E97" t="s">
        <v>48</v>
      </c>
      <c r="F97" s="35">
        <f>BUDGET!E97</f>
        <v>33</v>
      </c>
      <c r="G97" s="18">
        <f>BUDGET!F97</f>
        <v>4950</v>
      </c>
      <c r="H97" s="36">
        <f>BUDGET!G97</f>
        <v>1930.5</v>
      </c>
      <c r="I97" s="36">
        <f>BUDGET!H97</f>
        <v>1039.5</v>
      </c>
      <c r="J97" s="36">
        <f>BUDGET!I97</f>
        <v>396</v>
      </c>
    </row>
    <row r="98" spans="1:10">
      <c r="A98" t="str">
        <f>BUDGET!A98</f>
        <v xml:space="preserve">Septembre </v>
      </c>
      <c r="B98" s="51" cm="1">
        <f t="array" ref="B98">_xlfn.SWITCH(TRIM(A98),"Janvier",1,"Février",2,"Mars",3,"Avril",4,"Mai",5,"Juin",6,"Juillet",7,"Août",8,"Septembre",9,"Octobre",10,"Novembre",11,"Décembre",12,NA())</f>
        <v>9</v>
      </c>
      <c r="C98" t="str">
        <f>BUDGET!C98</f>
        <v>IDF</v>
      </c>
      <c r="D98" t="str">
        <f>BUDGET!D98</f>
        <v>composants</v>
      </c>
      <c r="E98" t="s">
        <v>48</v>
      </c>
      <c r="F98" s="35">
        <f>BUDGET!E98</f>
        <v>1976</v>
      </c>
      <c r="G98" s="18">
        <f>BUDGET!F98</f>
        <v>88920</v>
      </c>
      <c r="H98" s="36">
        <f>BUDGET!G98</f>
        <v>35963.200000000004</v>
      </c>
      <c r="I98" s="36">
        <f>BUDGET!H98</f>
        <v>19364.8</v>
      </c>
      <c r="J98" s="36">
        <f>BUDGET!I98</f>
        <v>7113.6</v>
      </c>
    </row>
    <row r="99" spans="1:10">
      <c r="A99" t="str">
        <f>BUDGET!A99</f>
        <v xml:space="preserve">Septembre </v>
      </c>
      <c r="B99" s="51" cm="1">
        <f t="array" ref="B99">_xlfn.SWITCH(TRIM(A99),"Janvier",1,"Février",2,"Mars",3,"Avril",4,"Mai",5,"Juin",6,"Juillet",7,"Août",8,"Septembre",9,"Octobre",10,"Novembre",11,"Décembre",12,NA())</f>
        <v>9</v>
      </c>
      <c r="C99" t="str">
        <f>BUDGET!C99</f>
        <v>Nord</v>
      </c>
      <c r="D99" t="str">
        <f>BUDGET!D99</f>
        <v>composants</v>
      </c>
      <c r="E99" t="s">
        <v>48</v>
      </c>
      <c r="F99" s="35">
        <f>BUDGET!E99</f>
        <v>1248</v>
      </c>
      <c r="G99" s="18">
        <f>BUDGET!F99</f>
        <v>56160</v>
      </c>
      <c r="H99" s="36">
        <f>BUDGET!G99</f>
        <v>22713.600000000002</v>
      </c>
      <c r="I99" s="36">
        <f>BUDGET!H99</f>
        <v>12230.4</v>
      </c>
      <c r="J99" s="36">
        <f>BUDGET!I99</f>
        <v>4492.8</v>
      </c>
    </row>
    <row r="100" spans="1:10">
      <c r="A100" t="str">
        <f>BUDGET!A100</f>
        <v xml:space="preserve">Septembre </v>
      </c>
      <c r="B100" s="51" cm="1">
        <f t="array" ref="B100">_xlfn.SWITCH(TRIM(A100),"Janvier",1,"Février",2,"Mars",3,"Avril",4,"Mai",5,"Juin",6,"Juillet",7,"Août",8,"Septembre",9,"Octobre",10,"Novembre",11,"Décembre",12,NA())</f>
        <v>9</v>
      </c>
      <c r="C100" t="str">
        <f>BUDGET!C100</f>
        <v>Sud</v>
      </c>
      <c r="D100" t="str">
        <f>BUDGET!D100</f>
        <v>composants</v>
      </c>
      <c r="E100" t="s">
        <v>48</v>
      </c>
      <c r="F100" s="35">
        <f>BUDGET!E100</f>
        <v>1144</v>
      </c>
      <c r="G100" s="18">
        <f>BUDGET!F100</f>
        <v>51480</v>
      </c>
      <c r="H100" s="36">
        <f>BUDGET!G100</f>
        <v>20820.8</v>
      </c>
      <c r="I100" s="36">
        <f>BUDGET!H100</f>
        <v>11211.199999999999</v>
      </c>
      <c r="J100" s="36">
        <f>BUDGET!I100</f>
        <v>4118.3999999999996</v>
      </c>
    </row>
    <row r="101" spans="1:10">
      <c r="A101" t="str">
        <f>BUDGET!A101</f>
        <v xml:space="preserve">Septembre </v>
      </c>
      <c r="B101" s="51" cm="1">
        <f t="array" ref="B101">_xlfn.SWITCH(TRIM(A101),"Janvier",1,"Février",2,"Mars",3,"Avril",4,"Mai",5,"Juin",6,"Juillet",7,"Août",8,"Septembre",9,"Octobre",10,"Novembre",11,"Décembre",12,NA())</f>
        <v>9</v>
      </c>
      <c r="C101" t="str">
        <f>BUDGET!C101</f>
        <v>Export</v>
      </c>
      <c r="D101" t="str">
        <f>BUDGET!D101</f>
        <v>composants</v>
      </c>
      <c r="E101" t="s">
        <v>48</v>
      </c>
      <c r="F101" s="35">
        <f>BUDGET!E101</f>
        <v>832</v>
      </c>
      <c r="G101" s="18">
        <f>BUDGET!F101</f>
        <v>37440</v>
      </c>
      <c r="H101" s="36">
        <f>BUDGET!G101</f>
        <v>15142.4</v>
      </c>
      <c r="I101" s="36">
        <f>BUDGET!H101</f>
        <v>8153.5999999999995</v>
      </c>
      <c r="J101" s="36">
        <f>BUDGET!I101</f>
        <v>2995.2000000000003</v>
      </c>
    </row>
    <row r="102" spans="1:10">
      <c r="A102" t="str">
        <f>BUDGET!A102</f>
        <v xml:space="preserve">Septembre </v>
      </c>
      <c r="B102" s="51" cm="1">
        <f t="array" ref="B102">_xlfn.SWITCH(TRIM(A102),"Janvier",1,"Février",2,"Mars",3,"Avril",4,"Mai",5,"Juin",6,"Juillet",7,"Août",8,"Septembre",9,"Octobre",10,"Novembre",11,"Décembre",12,NA())</f>
        <v>9</v>
      </c>
      <c r="C102" t="str">
        <f>BUDGET!C102</f>
        <v>IDF</v>
      </c>
      <c r="D102" t="str">
        <f>BUDGET!D102</f>
        <v>Equipements</v>
      </c>
      <c r="E102" t="s">
        <v>48</v>
      </c>
      <c r="F102" s="35">
        <f>BUDGET!E102</f>
        <v>236</v>
      </c>
      <c r="G102" s="18">
        <f>BUDGET!F102</f>
        <v>75520</v>
      </c>
      <c r="H102" s="36">
        <f>BUDGET!G102</f>
        <v>32214</v>
      </c>
      <c r="I102" s="36">
        <f>BUDGET!H102</f>
        <v>17346</v>
      </c>
      <c r="J102" s="36">
        <f>BUDGET!I102</f>
        <v>6041.6</v>
      </c>
    </row>
    <row r="103" spans="1:10">
      <c r="A103" t="str">
        <f>BUDGET!A103</f>
        <v xml:space="preserve">Septembre </v>
      </c>
      <c r="B103" s="51" cm="1">
        <f t="array" ref="B103">_xlfn.SWITCH(TRIM(A103),"Janvier",1,"Février",2,"Mars",3,"Avril",4,"Mai",5,"Juin",6,"Juillet",7,"Août",8,"Septembre",9,"Octobre",10,"Novembre",11,"Décembre",12,NA())</f>
        <v>9</v>
      </c>
      <c r="C103" t="str">
        <f>BUDGET!C103</f>
        <v>Nord</v>
      </c>
      <c r="D103" t="str">
        <f>BUDGET!D103</f>
        <v>Equipements</v>
      </c>
      <c r="E103" t="s">
        <v>48</v>
      </c>
      <c r="F103" s="35">
        <f>BUDGET!E103</f>
        <v>149</v>
      </c>
      <c r="G103" s="18">
        <f>BUDGET!F103</f>
        <v>47680</v>
      </c>
      <c r="H103" s="36">
        <f>BUDGET!G103</f>
        <v>20338.5</v>
      </c>
      <c r="I103" s="36">
        <f>BUDGET!H103</f>
        <v>10951.5</v>
      </c>
      <c r="J103" s="36">
        <f>BUDGET!I103</f>
        <v>3814.4</v>
      </c>
    </row>
    <row r="104" spans="1:10">
      <c r="A104" t="str">
        <f>BUDGET!A104</f>
        <v xml:space="preserve">Septembre </v>
      </c>
      <c r="B104" s="51" cm="1">
        <f t="array" ref="B104">_xlfn.SWITCH(TRIM(A104),"Janvier",1,"Février",2,"Mars",3,"Avril",4,"Mai",5,"Juin",6,"Juillet",7,"Août",8,"Septembre",9,"Octobre",10,"Novembre",11,"Décembre",12,NA())</f>
        <v>9</v>
      </c>
      <c r="C104" t="str">
        <f>BUDGET!C104</f>
        <v>Sud</v>
      </c>
      <c r="D104" t="str">
        <f>BUDGET!D104</f>
        <v>Equipements</v>
      </c>
      <c r="E104" t="s">
        <v>48</v>
      </c>
      <c r="F104" s="35">
        <f>BUDGET!E104</f>
        <v>136</v>
      </c>
      <c r="G104" s="18">
        <f>BUDGET!F104</f>
        <v>43520</v>
      </c>
      <c r="H104" s="36">
        <f>BUDGET!G104</f>
        <v>18564</v>
      </c>
      <c r="I104" s="36">
        <f>BUDGET!H104</f>
        <v>9996</v>
      </c>
      <c r="J104" s="36">
        <f>BUDGET!I104</f>
        <v>3481.6</v>
      </c>
    </row>
    <row r="105" spans="1:10">
      <c r="A105" t="str">
        <f>BUDGET!A105</f>
        <v xml:space="preserve">Septembre </v>
      </c>
      <c r="B105" s="51" cm="1">
        <f t="array" ref="B105">_xlfn.SWITCH(TRIM(A105),"Janvier",1,"Février",2,"Mars",3,"Avril",4,"Mai",5,"Juin",6,"Juillet",7,"Août",8,"Septembre",9,"Octobre",10,"Novembre",11,"Décembre",12,NA())</f>
        <v>9</v>
      </c>
      <c r="C105" t="str">
        <f>BUDGET!C105</f>
        <v>Export</v>
      </c>
      <c r="D105" t="str">
        <f>BUDGET!D105</f>
        <v>Equipements</v>
      </c>
      <c r="E105" t="s">
        <v>48</v>
      </c>
      <c r="F105" s="35">
        <f>BUDGET!E105</f>
        <v>99</v>
      </c>
      <c r="G105" s="18">
        <f>BUDGET!F105</f>
        <v>31680</v>
      </c>
      <c r="H105" s="36">
        <f>BUDGET!G105</f>
        <v>13513.5</v>
      </c>
      <c r="I105" s="36">
        <f>BUDGET!H105</f>
        <v>7276.4999999999991</v>
      </c>
      <c r="J105" s="36">
        <f>BUDGET!I105</f>
        <v>2534.4</v>
      </c>
    </row>
    <row r="106" spans="1:10">
      <c r="A106" t="str">
        <f>BUDGET!A106</f>
        <v xml:space="preserve">Septembre </v>
      </c>
      <c r="B106" s="51" cm="1">
        <f t="array" ref="B106">_xlfn.SWITCH(TRIM(A106),"Janvier",1,"Février",2,"Mars",3,"Avril",4,"Mai",5,"Juin",6,"Juillet",7,"Août",8,"Septembre",9,"Octobre",10,"Novembre",11,"Décembre",12,NA())</f>
        <v>9</v>
      </c>
      <c r="C106" t="str">
        <f>BUDGET!C106</f>
        <v>IDF</v>
      </c>
      <c r="D106" t="str">
        <f>BUDGET!D106</f>
        <v>Services</v>
      </c>
      <c r="E106" t="s">
        <v>48</v>
      </c>
      <c r="F106" s="35">
        <f>BUDGET!E106</f>
        <v>144</v>
      </c>
      <c r="G106" s="18">
        <f>BUDGET!F106</f>
        <v>21600</v>
      </c>
      <c r="H106" s="36">
        <f>BUDGET!G106</f>
        <v>8424</v>
      </c>
      <c r="I106" s="36">
        <f>BUDGET!H106</f>
        <v>4536</v>
      </c>
      <c r="J106" s="36">
        <f>BUDGET!I106</f>
        <v>1728</v>
      </c>
    </row>
    <row r="107" spans="1:10">
      <c r="A107" t="str">
        <f>BUDGET!A107</f>
        <v xml:space="preserve">Septembre </v>
      </c>
      <c r="B107" s="51" cm="1">
        <f t="array" ref="B107">_xlfn.SWITCH(TRIM(A107),"Janvier",1,"Février",2,"Mars",3,"Avril",4,"Mai",5,"Juin",6,"Juillet",7,"Août",8,"Septembre",9,"Octobre",10,"Novembre",11,"Décembre",12,NA())</f>
        <v>9</v>
      </c>
      <c r="C107" t="str">
        <f>BUDGET!C107</f>
        <v>Nord</v>
      </c>
      <c r="D107" t="str">
        <f>BUDGET!D107</f>
        <v>Services</v>
      </c>
      <c r="E107" t="s">
        <v>48</v>
      </c>
      <c r="F107" s="35">
        <f>BUDGET!E107</f>
        <v>91</v>
      </c>
      <c r="G107" s="18">
        <f>BUDGET!F107</f>
        <v>13650</v>
      </c>
      <c r="H107" s="36">
        <f>BUDGET!G107</f>
        <v>5323.5</v>
      </c>
      <c r="I107" s="36">
        <f>BUDGET!H107</f>
        <v>2866.5</v>
      </c>
      <c r="J107" s="36">
        <f>BUDGET!I107</f>
        <v>1092</v>
      </c>
    </row>
    <row r="108" spans="1:10">
      <c r="A108" t="str">
        <f>BUDGET!A108</f>
        <v xml:space="preserve">Septembre </v>
      </c>
      <c r="B108" s="51" cm="1">
        <f t="array" ref="B108">_xlfn.SWITCH(TRIM(A108),"Janvier",1,"Février",2,"Mars",3,"Avril",4,"Mai",5,"Juin",6,"Juillet",7,"Août",8,"Septembre",9,"Octobre",10,"Novembre",11,"Décembre",12,NA())</f>
        <v>9</v>
      </c>
      <c r="C108" t="str">
        <f>BUDGET!C108</f>
        <v>Sud</v>
      </c>
      <c r="D108" t="str">
        <f>BUDGET!D108</f>
        <v>Services</v>
      </c>
      <c r="E108" t="s">
        <v>48</v>
      </c>
      <c r="F108" s="35">
        <f>BUDGET!E108</f>
        <v>84</v>
      </c>
      <c r="G108" s="18">
        <f>BUDGET!F108</f>
        <v>12600</v>
      </c>
      <c r="H108" s="36">
        <f>BUDGET!G108</f>
        <v>4914</v>
      </c>
      <c r="I108" s="36">
        <f>BUDGET!H108</f>
        <v>2646</v>
      </c>
      <c r="J108" s="36">
        <f>BUDGET!I108</f>
        <v>1008</v>
      </c>
    </row>
    <row r="109" spans="1:10">
      <c r="A109" t="str">
        <f>BUDGET!A109</f>
        <v xml:space="preserve">Septembre </v>
      </c>
      <c r="B109" s="51" cm="1">
        <f t="array" ref="B109">_xlfn.SWITCH(TRIM(A109),"Janvier",1,"Février",2,"Mars",3,"Avril",4,"Mai",5,"Juin",6,"Juillet",7,"Août",8,"Septembre",9,"Octobre",10,"Novembre",11,"Décembre",12,NA())</f>
        <v>9</v>
      </c>
      <c r="C109" t="str">
        <f>BUDGET!C109</f>
        <v>Export</v>
      </c>
      <c r="D109" t="str">
        <f>BUDGET!D109</f>
        <v>Services</v>
      </c>
      <c r="E109" t="s">
        <v>48</v>
      </c>
      <c r="F109" s="35">
        <f>BUDGET!E109</f>
        <v>61</v>
      </c>
      <c r="G109" s="18">
        <f>BUDGET!F109</f>
        <v>9150</v>
      </c>
      <c r="H109" s="36">
        <f>BUDGET!G109</f>
        <v>3568.5</v>
      </c>
      <c r="I109" s="36">
        <f>BUDGET!H109</f>
        <v>1921.4999999999998</v>
      </c>
      <c r="J109" s="36">
        <f>BUDGET!I109</f>
        <v>732</v>
      </c>
    </row>
    <row r="110" spans="1:10">
      <c r="A110" t="str">
        <f>BUDGET!A110</f>
        <v xml:space="preserve">Octobre </v>
      </c>
      <c r="B110" s="51" cm="1">
        <f t="array" ref="B110">_xlfn.SWITCH(TRIM(A110),"Janvier",1,"Février",2,"Mars",3,"Avril",4,"Mai",5,"Juin",6,"Juillet",7,"Août",8,"Septembre",9,"Octobre",10,"Novembre",11,"Décembre",12,NA())</f>
        <v>10</v>
      </c>
      <c r="C110" t="str">
        <f>BUDGET!C110</f>
        <v>IDF</v>
      </c>
      <c r="D110" t="str">
        <f>BUDGET!D110</f>
        <v>composants</v>
      </c>
      <c r="E110" t="s">
        <v>48</v>
      </c>
      <c r="F110" s="35">
        <f>BUDGET!E110</f>
        <v>2134</v>
      </c>
      <c r="G110" s="18">
        <f>BUDGET!F110</f>
        <v>96030</v>
      </c>
      <c r="H110" s="36">
        <f>BUDGET!G110</f>
        <v>38838.800000000003</v>
      </c>
      <c r="I110" s="36">
        <f>BUDGET!H110</f>
        <v>20913.199999999997</v>
      </c>
      <c r="J110" s="36">
        <f>BUDGET!I110</f>
        <v>7682.4000000000005</v>
      </c>
    </row>
    <row r="111" spans="1:10">
      <c r="A111" t="str">
        <f>BUDGET!A111</f>
        <v xml:space="preserve">Octobre </v>
      </c>
      <c r="B111" s="51" cm="1">
        <f t="array" ref="B111">_xlfn.SWITCH(TRIM(A111),"Janvier",1,"Février",2,"Mars",3,"Avril",4,"Mai",5,"Juin",6,"Juillet",7,"Août",8,"Septembre",9,"Octobre",10,"Novembre",11,"Décembre",12,NA())</f>
        <v>10</v>
      </c>
      <c r="C111" t="str">
        <f>BUDGET!C111</f>
        <v>Nord</v>
      </c>
      <c r="D111" t="str">
        <f>BUDGET!D111</f>
        <v>composants</v>
      </c>
      <c r="E111" t="s">
        <v>48</v>
      </c>
      <c r="F111" s="35">
        <f>BUDGET!E111</f>
        <v>1348</v>
      </c>
      <c r="G111" s="18">
        <f>BUDGET!F111</f>
        <v>60660</v>
      </c>
      <c r="H111" s="36">
        <f>BUDGET!G111</f>
        <v>24533.600000000002</v>
      </c>
      <c r="I111" s="36">
        <f>BUDGET!H111</f>
        <v>13210.4</v>
      </c>
      <c r="J111" s="36">
        <f>BUDGET!I111</f>
        <v>4852.8</v>
      </c>
    </row>
    <row r="112" spans="1:10">
      <c r="A112" t="str">
        <f>BUDGET!A112</f>
        <v xml:space="preserve">Octobre </v>
      </c>
      <c r="B112" s="51" cm="1">
        <f t="array" ref="B112">_xlfn.SWITCH(TRIM(A112),"Janvier",1,"Février",2,"Mars",3,"Avril",4,"Mai",5,"Juin",6,"Juillet",7,"Août",8,"Septembre",9,"Octobre",10,"Novembre",11,"Décembre",12,NA())</f>
        <v>10</v>
      </c>
      <c r="C112" t="str">
        <f>BUDGET!C112</f>
        <v>Sud</v>
      </c>
      <c r="D112" t="str">
        <f>BUDGET!D112</f>
        <v>composants</v>
      </c>
      <c r="E112" t="s">
        <v>48</v>
      </c>
      <c r="F112" s="35">
        <f>BUDGET!E112</f>
        <v>1236</v>
      </c>
      <c r="G112" s="18">
        <f>BUDGET!F112</f>
        <v>55620</v>
      </c>
      <c r="H112" s="36">
        <f>BUDGET!G112</f>
        <v>22495.200000000001</v>
      </c>
      <c r="I112" s="36">
        <f>BUDGET!H112</f>
        <v>12112.8</v>
      </c>
      <c r="J112" s="36">
        <f>BUDGET!I112</f>
        <v>4449.6000000000004</v>
      </c>
    </row>
    <row r="113" spans="1:10">
      <c r="A113" t="str">
        <f>BUDGET!A113</f>
        <v xml:space="preserve">Octobre </v>
      </c>
      <c r="B113" s="51" cm="1">
        <f t="array" ref="B113">_xlfn.SWITCH(TRIM(A113),"Janvier",1,"Février",2,"Mars",3,"Avril",4,"Mai",5,"Juin",6,"Juillet",7,"Août",8,"Septembre",9,"Octobre",10,"Novembre",11,"Décembre",12,NA())</f>
        <v>10</v>
      </c>
      <c r="C113" t="str">
        <f>BUDGET!C113</f>
        <v>Export</v>
      </c>
      <c r="D113" t="str">
        <f>BUDGET!D113</f>
        <v>composants</v>
      </c>
      <c r="E113" t="s">
        <v>48</v>
      </c>
      <c r="F113" s="35">
        <f>BUDGET!E113</f>
        <v>899</v>
      </c>
      <c r="G113" s="18">
        <f>BUDGET!F113</f>
        <v>40455</v>
      </c>
      <c r="H113" s="36">
        <f>BUDGET!G113</f>
        <v>16361.800000000001</v>
      </c>
      <c r="I113" s="36">
        <f>BUDGET!H113</f>
        <v>8810.1999999999989</v>
      </c>
      <c r="J113" s="36">
        <f>BUDGET!I113</f>
        <v>3236.4</v>
      </c>
    </row>
    <row r="114" spans="1:10">
      <c r="A114" t="str">
        <f>BUDGET!A114</f>
        <v xml:space="preserve">Octobre </v>
      </c>
      <c r="B114" s="51" cm="1">
        <f t="array" ref="B114">_xlfn.SWITCH(TRIM(A114),"Janvier",1,"Février",2,"Mars",3,"Avril",4,"Mai",5,"Juin",6,"Juillet",7,"Août",8,"Septembre",9,"Octobre",10,"Novembre",11,"Décembre",12,NA())</f>
        <v>10</v>
      </c>
      <c r="C114" t="str">
        <f>BUDGET!C114</f>
        <v>IDF</v>
      </c>
      <c r="D114" t="str">
        <f>BUDGET!D114</f>
        <v>Equipements</v>
      </c>
      <c r="E114" t="s">
        <v>48</v>
      </c>
      <c r="F114" s="35">
        <f>BUDGET!E114</f>
        <v>254</v>
      </c>
      <c r="G114" s="18">
        <f>BUDGET!F114</f>
        <v>81280</v>
      </c>
      <c r="H114" s="36">
        <f>BUDGET!G114</f>
        <v>34671</v>
      </c>
      <c r="I114" s="36">
        <f>BUDGET!H114</f>
        <v>18669</v>
      </c>
      <c r="J114" s="36">
        <f>BUDGET!I114</f>
        <v>6502.4000000000005</v>
      </c>
    </row>
    <row r="115" spans="1:10">
      <c r="A115" t="str">
        <f>BUDGET!A115</f>
        <v xml:space="preserve">Octobre </v>
      </c>
      <c r="B115" s="51" cm="1">
        <f t="array" ref="B115">_xlfn.SWITCH(TRIM(A115),"Janvier",1,"Février",2,"Mars",3,"Avril",4,"Mai",5,"Juin",6,"Juillet",7,"Août",8,"Septembre",9,"Octobre",10,"Novembre",11,"Décembre",12,NA())</f>
        <v>10</v>
      </c>
      <c r="C115" t="str">
        <f>BUDGET!C115</f>
        <v>Nord</v>
      </c>
      <c r="D115" t="str">
        <f>BUDGET!D115</f>
        <v>Equipements</v>
      </c>
      <c r="E115" t="s">
        <v>48</v>
      </c>
      <c r="F115" s="35">
        <f>BUDGET!E115</f>
        <v>161</v>
      </c>
      <c r="G115" s="18">
        <f>BUDGET!F115</f>
        <v>51520</v>
      </c>
      <c r="H115" s="36">
        <f>BUDGET!G115</f>
        <v>21976.5</v>
      </c>
      <c r="I115" s="36">
        <f>BUDGET!H115</f>
        <v>11833.5</v>
      </c>
      <c r="J115" s="36">
        <f>BUDGET!I115</f>
        <v>4121.6000000000004</v>
      </c>
    </row>
    <row r="116" spans="1:10">
      <c r="A116" t="str">
        <f>BUDGET!A116</f>
        <v xml:space="preserve">Octobre </v>
      </c>
      <c r="B116" s="51" cm="1">
        <f t="array" ref="B116">_xlfn.SWITCH(TRIM(A116),"Janvier",1,"Février",2,"Mars",3,"Avril",4,"Mai",5,"Juin",6,"Juillet",7,"Août",8,"Septembre",9,"Octobre",10,"Novembre",11,"Décembre",12,NA())</f>
        <v>10</v>
      </c>
      <c r="C116" t="str">
        <f>BUDGET!C116</f>
        <v>Sud</v>
      </c>
      <c r="D116" t="str">
        <f>BUDGET!D116</f>
        <v>Equipements</v>
      </c>
      <c r="E116" t="s">
        <v>48</v>
      </c>
      <c r="F116" s="35">
        <f>BUDGET!E116</f>
        <v>147</v>
      </c>
      <c r="G116" s="18">
        <f>BUDGET!F116</f>
        <v>47040</v>
      </c>
      <c r="H116" s="36">
        <f>BUDGET!G116</f>
        <v>20065.5</v>
      </c>
      <c r="I116" s="36">
        <f>BUDGET!H116</f>
        <v>10804.5</v>
      </c>
      <c r="J116" s="36">
        <f>BUDGET!I116</f>
        <v>3763.2000000000003</v>
      </c>
    </row>
    <row r="117" spans="1:10">
      <c r="A117" t="str">
        <f>BUDGET!A117</f>
        <v xml:space="preserve">Octobre </v>
      </c>
      <c r="B117" s="51" cm="1">
        <f t="array" ref="B117">_xlfn.SWITCH(TRIM(A117),"Janvier",1,"Février",2,"Mars",3,"Avril",4,"Mai",5,"Juin",6,"Juillet",7,"Août",8,"Septembre",9,"Octobre",10,"Novembre",11,"Décembre",12,NA())</f>
        <v>10</v>
      </c>
      <c r="C117" t="str">
        <f>BUDGET!C117</f>
        <v>Export</v>
      </c>
      <c r="D117" t="str">
        <f>BUDGET!D117</f>
        <v>Equipements</v>
      </c>
      <c r="E117" t="s">
        <v>48</v>
      </c>
      <c r="F117" s="35">
        <f>BUDGET!E117</f>
        <v>107</v>
      </c>
      <c r="G117" s="18">
        <f>BUDGET!F117</f>
        <v>34240</v>
      </c>
      <c r="H117" s="36">
        <f>BUDGET!G117</f>
        <v>14605.5</v>
      </c>
      <c r="I117" s="36">
        <f>BUDGET!H117</f>
        <v>7864.4999999999991</v>
      </c>
      <c r="J117" s="36">
        <f>BUDGET!I117</f>
        <v>2739.2000000000003</v>
      </c>
    </row>
    <row r="118" spans="1:10">
      <c r="A118" t="str">
        <f>BUDGET!A118</f>
        <v xml:space="preserve">Octobre </v>
      </c>
      <c r="B118" s="51" cm="1">
        <f t="array" ref="B118">_xlfn.SWITCH(TRIM(A118),"Janvier",1,"Février",2,"Mars",3,"Avril",4,"Mai",5,"Juin",6,"Juillet",7,"Août",8,"Septembre",9,"Octobre",10,"Novembre",11,"Décembre",12,NA())</f>
        <v>10</v>
      </c>
      <c r="C118" t="str">
        <f>BUDGET!C118</f>
        <v>IDF</v>
      </c>
      <c r="D118" t="str">
        <f>BUDGET!D118</f>
        <v>Services</v>
      </c>
      <c r="E118" t="s">
        <v>48</v>
      </c>
      <c r="F118" s="35">
        <f>BUDGET!E118</f>
        <v>156</v>
      </c>
      <c r="G118" s="18">
        <f>BUDGET!F118</f>
        <v>23400</v>
      </c>
      <c r="H118" s="36">
        <f>BUDGET!G118</f>
        <v>9126</v>
      </c>
      <c r="I118" s="36">
        <f>BUDGET!H118</f>
        <v>4914</v>
      </c>
      <c r="J118" s="36">
        <f>BUDGET!I118</f>
        <v>1872</v>
      </c>
    </row>
    <row r="119" spans="1:10">
      <c r="A119" t="str">
        <f>BUDGET!A119</f>
        <v xml:space="preserve">Octobre </v>
      </c>
      <c r="B119" s="51" cm="1">
        <f t="array" ref="B119">_xlfn.SWITCH(TRIM(A119),"Janvier",1,"Février",2,"Mars",3,"Avril",4,"Mai",5,"Juin",6,"Juillet",7,"Août",8,"Septembre",9,"Octobre",10,"Novembre",11,"Décembre",12,NA())</f>
        <v>10</v>
      </c>
      <c r="C119" t="str">
        <f>BUDGET!C119</f>
        <v>Nord</v>
      </c>
      <c r="D119" t="str">
        <f>BUDGET!D119</f>
        <v>Services</v>
      </c>
      <c r="E119" t="s">
        <v>48</v>
      </c>
      <c r="F119" s="35">
        <f>BUDGET!E119</f>
        <v>98</v>
      </c>
      <c r="G119" s="18">
        <f>BUDGET!F119</f>
        <v>14700</v>
      </c>
      <c r="H119" s="36">
        <f>BUDGET!G119</f>
        <v>5733</v>
      </c>
      <c r="I119" s="36">
        <f>BUDGET!H119</f>
        <v>3087</v>
      </c>
      <c r="J119" s="36">
        <f>BUDGET!I119</f>
        <v>1176</v>
      </c>
    </row>
    <row r="120" spans="1:10">
      <c r="A120" t="str">
        <f>BUDGET!A120</f>
        <v xml:space="preserve">Octobre </v>
      </c>
      <c r="B120" s="51" cm="1">
        <f t="array" ref="B120">_xlfn.SWITCH(TRIM(A120),"Janvier",1,"Février",2,"Mars",3,"Avril",4,"Mai",5,"Juin",6,"Juillet",7,"Août",8,"Septembre",9,"Octobre",10,"Novembre",11,"Décembre",12,NA())</f>
        <v>10</v>
      </c>
      <c r="C120" t="str">
        <f>BUDGET!C120</f>
        <v>Sud</v>
      </c>
      <c r="D120" t="str">
        <f>BUDGET!D120</f>
        <v>Services</v>
      </c>
      <c r="E120" t="s">
        <v>48</v>
      </c>
      <c r="F120" s="35">
        <f>BUDGET!E120</f>
        <v>90</v>
      </c>
      <c r="G120" s="18">
        <f>BUDGET!F120</f>
        <v>13500</v>
      </c>
      <c r="H120" s="36">
        <f>BUDGET!G120</f>
        <v>5265</v>
      </c>
      <c r="I120" s="36">
        <f>BUDGET!H120</f>
        <v>2835</v>
      </c>
      <c r="J120" s="36">
        <f>BUDGET!I120</f>
        <v>1080</v>
      </c>
    </row>
    <row r="121" spans="1:10">
      <c r="A121" t="str">
        <f>BUDGET!A121</f>
        <v xml:space="preserve">Octobre </v>
      </c>
      <c r="B121" s="51" cm="1">
        <f t="array" ref="B121">_xlfn.SWITCH(TRIM(A121),"Janvier",1,"Février",2,"Mars",3,"Avril",4,"Mai",5,"Juin",6,"Juillet",7,"Août",8,"Septembre",9,"Octobre",10,"Novembre",11,"Décembre",12,NA())</f>
        <v>10</v>
      </c>
      <c r="C121" t="str">
        <f>BUDGET!C121</f>
        <v>Export</v>
      </c>
      <c r="D121" t="str">
        <f>BUDGET!D121</f>
        <v>Services</v>
      </c>
      <c r="E121" t="s">
        <v>48</v>
      </c>
      <c r="F121" s="35">
        <f>BUDGET!E121</f>
        <v>66</v>
      </c>
      <c r="G121" s="18">
        <f>BUDGET!F121</f>
        <v>9900</v>
      </c>
      <c r="H121" s="36">
        <f>BUDGET!G121</f>
        <v>3861</v>
      </c>
      <c r="I121" s="36">
        <f>BUDGET!H121</f>
        <v>2079</v>
      </c>
      <c r="J121" s="36">
        <f>BUDGET!I121</f>
        <v>792</v>
      </c>
    </row>
    <row r="122" spans="1:10">
      <c r="A122" t="str">
        <f>BUDGET!A122</f>
        <v xml:space="preserve">Novembre </v>
      </c>
      <c r="B122" s="51" cm="1">
        <f t="array" ref="B122">_xlfn.SWITCH(TRIM(A122),"Janvier",1,"Février",2,"Mars",3,"Avril",4,"Mai",5,"Juin",6,"Juillet",7,"Août",8,"Septembre",9,"Octobre",10,"Novembre",11,"Décembre",12,NA())</f>
        <v>11</v>
      </c>
      <c r="C122" t="str">
        <f>BUDGET!C122</f>
        <v>IDF</v>
      </c>
      <c r="D122" t="str">
        <f>BUDGET!D122</f>
        <v>composants</v>
      </c>
      <c r="E122" t="s">
        <v>48</v>
      </c>
      <c r="F122" s="35">
        <f>BUDGET!E122</f>
        <v>2213</v>
      </c>
      <c r="G122" s="18">
        <f>BUDGET!F122</f>
        <v>99585</v>
      </c>
      <c r="H122" s="36">
        <f>BUDGET!G122</f>
        <v>40276.6</v>
      </c>
      <c r="I122" s="36">
        <f>BUDGET!H122</f>
        <v>21687.399999999998</v>
      </c>
      <c r="J122" s="36">
        <f>BUDGET!I122</f>
        <v>7966.8</v>
      </c>
    </row>
    <row r="123" spans="1:10">
      <c r="A123" t="str">
        <f>BUDGET!A123</f>
        <v xml:space="preserve">Novembre </v>
      </c>
      <c r="B123" s="51" cm="1">
        <f t="array" ref="B123">_xlfn.SWITCH(TRIM(A123),"Janvier",1,"Février",2,"Mars",3,"Avril",4,"Mai",5,"Juin",6,"Juillet",7,"Août",8,"Septembre",9,"Octobre",10,"Novembre",11,"Décembre",12,NA())</f>
        <v>11</v>
      </c>
      <c r="C123" t="str">
        <f>BUDGET!C123</f>
        <v>Nord</v>
      </c>
      <c r="D123" t="str">
        <f>BUDGET!D123</f>
        <v>composants</v>
      </c>
      <c r="E123" t="s">
        <v>48</v>
      </c>
      <c r="F123" s="35">
        <f>BUDGET!E123</f>
        <v>1398</v>
      </c>
      <c r="G123" s="18">
        <f>BUDGET!F123</f>
        <v>62910</v>
      </c>
      <c r="H123" s="36">
        <f>BUDGET!G123</f>
        <v>25443.600000000002</v>
      </c>
      <c r="I123" s="36">
        <f>BUDGET!H123</f>
        <v>13700.4</v>
      </c>
      <c r="J123" s="36">
        <f>BUDGET!I123</f>
        <v>5032.8</v>
      </c>
    </row>
    <row r="124" spans="1:10">
      <c r="A124" t="str">
        <f>BUDGET!A124</f>
        <v xml:space="preserve">Novembre </v>
      </c>
      <c r="B124" s="51" cm="1">
        <f t="array" ref="B124">_xlfn.SWITCH(TRIM(A124),"Janvier",1,"Février",2,"Mars",3,"Avril",4,"Mai",5,"Juin",6,"Juillet",7,"Août",8,"Septembre",9,"Octobre",10,"Novembre",11,"Décembre",12,NA())</f>
        <v>11</v>
      </c>
      <c r="C124" t="str">
        <f>BUDGET!C124</f>
        <v>Sud</v>
      </c>
      <c r="D124" t="str">
        <f>BUDGET!D124</f>
        <v>composants</v>
      </c>
      <c r="E124" t="s">
        <v>48</v>
      </c>
      <c r="F124" s="35">
        <f>BUDGET!E124</f>
        <v>1281</v>
      </c>
      <c r="G124" s="18">
        <f>BUDGET!F124</f>
        <v>57645</v>
      </c>
      <c r="H124" s="36">
        <f>BUDGET!G124</f>
        <v>23314.2</v>
      </c>
      <c r="I124" s="36">
        <f>BUDGET!H124</f>
        <v>12553.8</v>
      </c>
      <c r="J124" s="36">
        <f>BUDGET!I124</f>
        <v>4611.6000000000004</v>
      </c>
    </row>
    <row r="125" spans="1:10">
      <c r="A125" t="str">
        <f>BUDGET!A125</f>
        <v xml:space="preserve">Novembre </v>
      </c>
      <c r="B125" s="51" cm="1">
        <f t="array" ref="B125">_xlfn.SWITCH(TRIM(A125),"Janvier",1,"Février",2,"Mars",3,"Avril",4,"Mai",5,"Juin",6,"Juillet",7,"Août",8,"Septembre",9,"Octobre",10,"Novembre",11,"Décembre",12,NA())</f>
        <v>11</v>
      </c>
      <c r="C125" t="str">
        <f>BUDGET!C125</f>
        <v>Export</v>
      </c>
      <c r="D125" t="str">
        <f>BUDGET!D125</f>
        <v>composants</v>
      </c>
      <c r="E125" t="s">
        <v>48</v>
      </c>
      <c r="F125" s="35">
        <f>BUDGET!E125</f>
        <v>932</v>
      </c>
      <c r="G125" s="18">
        <f>BUDGET!F125</f>
        <v>41940</v>
      </c>
      <c r="H125" s="36">
        <f>BUDGET!G125</f>
        <v>16962.400000000001</v>
      </c>
      <c r="I125" s="36">
        <f>BUDGET!H125</f>
        <v>9133.5999999999985</v>
      </c>
      <c r="J125" s="36">
        <f>BUDGET!I125</f>
        <v>3355.2000000000003</v>
      </c>
    </row>
    <row r="126" spans="1:10">
      <c r="A126" t="str">
        <f>BUDGET!A126</f>
        <v xml:space="preserve">Novembre </v>
      </c>
      <c r="B126" s="51" cm="1">
        <f t="array" ref="B126">_xlfn.SWITCH(TRIM(A126),"Janvier",1,"Février",2,"Mars",3,"Avril",4,"Mai",5,"Juin",6,"Juillet",7,"Août",8,"Septembre",9,"Octobre",10,"Novembre",11,"Décembre",12,NA())</f>
        <v>11</v>
      </c>
      <c r="C126" t="str">
        <f>BUDGET!C126</f>
        <v>IDF</v>
      </c>
      <c r="D126" t="str">
        <f>BUDGET!D126</f>
        <v>Equipements</v>
      </c>
      <c r="E126" t="s">
        <v>48</v>
      </c>
      <c r="F126" s="35">
        <f>BUDGET!E126</f>
        <v>264</v>
      </c>
      <c r="G126" s="18">
        <f>BUDGET!F126</f>
        <v>84480</v>
      </c>
      <c r="H126" s="36">
        <f>BUDGET!G126</f>
        <v>36036</v>
      </c>
      <c r="I126" s="36">
        <f>BUDGET!H126</f>
        <v>19404</v>
      </c>
      <c r="J126" s="36">
        <f>BUDGET!I126</f>
        <v>6758.4000000000005</v>
      </c>
    </row>
    <row r="127" spans="1:10">
      <c r="A127" t="str">
        <f>BUDGET!A127</f>
        <v xml:space="preserve">Novembre </v>
      </c>
      <c r="B127" s="51" cm="1">
        <f t="array" ref="B127">_xlfn.SWITCH(TRIM(A127),"Janvier",1,"Février",2,"Mars",3,"Avril",4,"Mai",5,"Juin",6,"Juillet",7,"Août",8,"Septembre",9,"Octobre",10,"Novembre",11,"Décembre",12,NA())</f>
        <v>11</v>
      </c>
      <c r="C127" t="str">
        <f>BUDGET!C127</f>
        <v>Nord</v>
      </c>
      <c r="D127" t="str">
        <f>BUDGET!D127</f>
        <v>Equipements</v>
      </c>
      <c r="E127" t="s">
        <v>48</v>
      </c>
      <c r="F127" s="35">
        <f>BUDGET!E127</f>
        <v>167</v>
      </c>
      <c r="G127" s="18">
        <f>BUDGET!F127</f>
        <v>53440</v>
      </c>
      <c r="H127" s="36">
        <f>BUDGET!G127</f>
        <v>22795.5</v>
      </c>
      <c r="I127" s="36">
        <f>BUDGET!H127</f>
        <v>12274.5</v>
      </c>
      <c r="J127" s="36">
        <f>BUDGET!I127</f>
        <v>4275.2</v>
      </c>
    </row>
    <row r="128" spans="1:10">
      <c r="A128" t="str">
        <f>BUDGET!A128</f>
        <v xml:space="preserve">Novembre </v>
      </c>
      <c r="B128" s="51" cm="1">
        <f t="array" ref="B128">_xlfn.SWITCH(TRIM(A128),"Janvier",1,"Février",2,"Mars",3,"Avril",4,"Mai",5,"Juin",6,"Juillet",7,"Août",8,"Septembre",9,"Octobre",10,"Novembre",11,"Décembre",12,NA())</f>
        <v>11</v>
      </c>
      <c r="C128" t="str">
        <f>BUDGET!C128</f>
        <v>Sud</v>
      </c>
      <c r="D128" t="str">
        <f>BUDGET!D128</f>
        <v>Equipements</v>
      </c>
      <c r="E128" t="s">
        <v>48</v>
      </c>
      <c r="F128" s="35">
        <f>BUDGET!E128</f>
        <v>153</v>
      </c>
      <c r="G128" s="18">
        <f>BUDGET!F128</f>
        <v>48960</v>
      </c>
      <c r="H128" s="36">
        <f>BUDGET!G128</f>
        <v>20884.5</v>
      </c>
      <c r="I128" s="36">
        <f>BUDGET!H128</f>
        <v>11245.5</v>
      </c>
      <c r="J128" s="36">
        <f>BUDGET!I128</f>
        <v>3916.8</v>
      </c>
    </row>
    <row r="129" spans="1:10">
      <c r="A129" t="str">
        <f>BUDGET!A129</f>
        <v xml:space="preserve">Novembre </v>
      </c>
      <c r="B129" s="51" cm="1">
        <f t="array" ref="B129">_xlfn.SWITCH(TRIM(A129),"Janvier",1,"Février",2,"Mars",3,"Avril",4,"Mai",5,"Juin",6,"Juillet",7,"Août",8,"Septembre",9,"Octobre",10,"Novembre",11,"Décembre",12,NA())</f>
        <v>11</v>
      </c>
      <c r="C129" t="str">
        <f>BUDGET!C129</f>
        <v>Export</v>
      </c>
      <c r="D129" t="str">
        <f>BUDGET!D129</f>
        <v>Equipements</v>
      </c>
      <c r="E129" t="s">
        <v>48</v>
      </c>
      <c r="F129" s="35">
        <f>BUDGET!E129</f>
        <v>111</v>
      </c>
      <c r="G129" s="18">
        <f>BUDGET!F129</f>
        <v>35520</v>
      </c>
      <c r="H129" s="36">
        <f>BUDGET!G129</f>
        <v>15151.5</v>
      </c>
      <c r="I129" s="36">
        <f>BUDGET!H129</f>
        <v>8158.4999999999991</v>
      </c>
      <c r="J129" s="36">
        <f>BUDGET!I129</f>
        <v>2841.6</v>
      </c>
    </row>
    <row r="130" spans="1:10">
      <c r="A130" t="str">
        <f>BUDGET!A130</f>
        <v xml:space="preserve">Novembre </v>
      </c>
      <c r="B130" s="51" cm="1">
        <f t="array" ref="B130">_xlfn.SWITCH(TRIM(A130),"Janvier",1,"Février",2,"Mars",3,"Avril",4,"Mai",5,"Juin",6,"Juillet",7,"Août",8,"Septembre",9,"Octobre",10,"Novembre",11,"Décembre",12,NA())</f>
        <v>11</v>
      </c>
      <c r="C130" t="str">
        <f>BUDGET!C130</f>
        <v>IDF</v>
      </c>
      <c r="D130" t="str">
        <f>BUDGET!D130</f>
        <v>Services</v>
      </c>
      <c r="E130" t="s">
        <v>48</v>
      </c>
      <c r="F130" s="35">
        <f>BUDGET!E130</f>
        <v>162</v>
      </c>
      <c r="G130" s="18">
        <f>BUDGET!F130</f>
        <v>24300</v>
      </c>
      <c r="H130" s="36">
        <f>BUDGET!G130</f>
        <v>9477</v>
      </c>
      <c r="I130" s="36">
        <f>BUDGET!H130</f>
        <v>5103</v>
      </c>
      <c r="J130" s="36">
        <f>BUDGET!I130</f>
        <v>1944</v>
      </c>
    </row>
    <row r="131" spans="1:10">
      <c r="A131" t="str">
        <f>BUDGET!A131</f>
        <v xml:space="preserve">Novembre </v>
      </c>
      <c r="B131" s="51" cm="1">
        <f t="array" ref="B131">_xlfn.SWITCH(TRIM(A131),"Janvier",1,"Février",2,"Mars",3,"Avril",4,"Mai",5,"Juin",6,"Juillet",7,"Août",8,"Septembre",9,"Octobre",10,"Novembre",11,"Décembre",12,NA())</f>
        <v>11</v>
      </c>
      <c r="C131" t="str">
        <f>BUDGET!C131</f>
        <v>Nord</v>
      </c>
      <c r="D131" t="str">
        <f>BUDGET!D131</f>
        <v>Services</v>
      </c>
      <c r="E131" t="s">
        <v>48</v>
      </c>
      <c r="F131" s="35">
        <f>BUDGET!E131</f>
        <v>102</v>
      </c>
      <c r="G131" s="18">
        <f>BUDGET!F131</f>
        <v>15300</v>
      </c>
      <c r="H131" s="36">
        <f>BUDGET!G131</f>
        <v>5967</v>
      </c>
      <c r="I131" s="36">
        <f>BUDGET!H131</f>
        <v>3213</v>
      </c>
      <c r="J131" s="36">
        <f>BUDGET!I131</f>
        <v>1224</v>
      </c>
    </row>
    <row r="132" spans="1:10">
      <c r="A132" t="str">
        <f>BUDGET!A132</f>
        <v xml:space="preserve">Novembre </v>
      </c>
      <c r="B132" s="51" cm="1">
        <f t="array" ref="B132">_xlfn.SWITCH(TRIM(A132),"Janvier",1,"Février",2,"Mars",3,"Avril",4,"Mai",5,"Juin",6,"Juillet",7,"Août",8,"Septembre",9,"Octobre",10,"Novembre",11,"Décembre",12,NA())</f>
        <v>11</v>
      </c>
      <c r="C132" t="str">
        <f>BUDGET!C132</f>
        <v>Sud</v>
      </c>
      <c r="D132" t="str">
        <f>BUDGET!D132</f>
        <v>Services</v>
      </c>
      <c r="E132" t="s">
        <v>48</v>
      </c>
      <c r="F132" s="35">
        <f>BUDGET!E132</f>
        <v>94</v>
      </c>
      <c r="G132" s="18">
        <f>BUDGET!F132</f>
        <v>14100</v>
      </c>
      <c r="H132" s="36">
        <f>BUDGET!G132</f>
        <v>5499</v>
      </c>
      <c r="I132" s="36">
        <f>BUDGET!H132</f>
        <v>2961</v>
      </c>
      <c r="J132" s="36">
        <f>BUDGET!I132</f>
        <v>1128</v>
      </c>
    </row>
    <row r="133" spans="1:10">
      <c r="A133" t="str">
        <f>BUDGET!A133</f>
        <v xml:space="preserve">Novembre </v>
      </c>
      <c r="B133" s="51" cm="1">
        <f t="array" ref="B133">_xlfn.SWITCH(TRIM(A133),"Janvier",1,"Février",2,"Mars",3,"Avril",4,"Mai",5,"Juin",6,"Juillet",7,"Août",8,"Septembre",9,"Octobre",10,"Novembre",11,"Décembre",12,NA())</f>
        <v>11</v>
      </c>
      <c r="C133" t="str">
        <f>BUDGET!C133</f>
        <v>Export</v>
      </c>
      <c r="D133" t="str">
        <f>BUDGET!D133</f>
        <v>Services</v>
      </c>
      <c r="E133" t="s">
        <v>48</v>
      </c>
      <c r="F133" s="35">
        <f>BUDGET!E133</f>
        <v>68</v>
      </c>
      <c r="G133" s="18">
        <f>BUDGET!F133</f>
        <v>10200</v>
      </c>
      <c r="H133" s="36">
        <f>BUDGET!G133</f>
        <v>3978</v>
      </c>
      <c r="I133" s="36">
        <f>BUDGET!H133</f>
        <v>2142</v>
      </c>
      <c r="J133" s="36">
        <f>BUDGET!I133</f>
        <v>816</v>
      </c>
    </row>
    <row r="134" spans="1:10">
      <c r="A134" t="str">
        <f>BUDGET!A134</f>
        <v>Décembre</v>
      </c>
      <c r="B134" s="51" cm="1">
        <f t="array" ref="B134">_xlfn.SWITCH(TRIM(A134),"Janvier",1,"Février",2,"Mars",3,"Avril",4,"Mai",5,"Juin",6,"Juillet",7,"Août",8,"Septembre",9,"Octobre",10,"Novembre",11,"Décembre",12,NA())</f>
        <v>12</v>
      </c>
      <c r="C134" t="str">
        <f>BUDGET!C134</f>
        <v>IDF</v>
      </c>
      <c r="D134" t="str">
        <f>BUDGET!D134</f>
        <v>composants</v>
      </c>
      <c r="E134" t="s">
        <v>48</v>
      </c>
      <c r="F134" s="35">
        <f>BUDGET!E134</f>
        <v>2371</v>
      </c>
      <c r="G134" s="18">
        <f>BUDGET!F134</f>
        <v>106695</v>
      </c>
      <c r="H134" s="36">
        <f>BUDGET!G134</f>
        <v>43152.200000000004</v>
      </c>
      <c r="I134" s="36">
        <f>BUDGET!H134</f>
        <v>23235.8</v>
      </c>
      <c r="J134" s="36">
        <f>BUDGET!I134</f>
        <v>8535.6</v>
      </c>
    </row>
    <row r="135" spans="1:10">
      <c r="A135" t="str">
        <f>BUDGET!A135</f>
        <v>Décembre</v>
      </c>
      <c r="B135" s="51" cm="1">
        <f t="array" ref="B135">_xlfn.SWITCH(TRIM(A135),"Janvier",1,"Février",2,"Mars",3,"Avril",4,"Mai",5,"Juin",6,"Juillet",7,"Août",8,"Septembre",9,"Octobre",10,"Novembre",11,"Décembre",12,NA())</f>
        <v>12</v>
      </c>
      <c r="C135" t="str">
        <f>BUDGET!C135</f>
        <v>Nord</v>
      </c>
      <c r="D135" t="str">
        <f>BUDGET!D135</f>
        <v>composants</v>
      </c>
      <c r="E135" t="s">
        <v>48</v>
      </c>
      <c r="F135" s="35">
        <f>BUDGET!E135</f>
        <v>1498</v>
      </c>
      <c r="G135" s="18">
        <f>BUDGET!F135</f>
        <v>67410</v>
      </c>
      <c r="H135" s="36">
        <f>BUDGET!G135</f>
        <v>27263.600000000002</v>
      </c>
      <c r="I135" s="36">
        <f>BUDGET!H135</f>
        <v>14680.4</v>
      </c>
      <c r="J135" s="36">
        <f>BUDGET!I135</f>
        <v>5392.8</v>
      </c>
    </row>
    <row r="136" spans="1:10">
      <c r="A136" t="str">
        <f>BUDGET!A136</f>
        <v>Décembre</v>
      </c>
      <c r="B136" s="51" cm="1">
        <f t="array" ref="B136">_xlfn.SWITCH(TRIM(A136),"Janvier",1,"Février",2,"Mars",3,"Avril",4,"Mai",5,"Juin",6,"Juillet",7,"Août",8,"Septembre",9,"Octobre",10,"Novembre",11,"Décembre",12,NA())</f>
        <v>12</v>
      </c>
      <c r="C136" t="str">
        <f>BUDGET!C136</f>
        <v>Sud</v>
      </c>
      <c r="D136" t="str">
        <f>BUDGET!D136</f>
        <v>composants</v>
      </c>
      <c r="E136" t="s">
        <v>48</v>
      </c>
      <c r="F136" s="35">
        <f>BUDGET!E136</f>
        <v>1373</v>
      </c>
      <c r="G136" s="18">
        <f>BUDGET!F136</f>
        <v>61785</v>
      </c>
      <c r="H136" s="36">
        <f>BUDGET!G136</f>
        <v>24988.600000000002</v>
      </c>
      <c r="I136" s="36">
        <f>BUDGET!H136</f>
        <v>13455.4</v>
      </c>
      <c r="J136" s="36">
        <f>BUDGET!I136</f>
        <v>4942.8</v>
      </c>
    </row>
    <row r="137" spans="1:10">
      <c r="A137" t="str">
        <f>BUDGET!A137</f>
        <v>Décembre</v>
      </c>
      <c r="B137" s="51" cm="1">
        <f t="array" ref="B137">_xlfn.SWITCH(TRIM(A137),"Janvier",1,"Février",2,"Mars",3,"Avril",4,"Mai",5,"Juin",6,"Juillet",7,"Août",8,"Septembre",9,"Octobre",10,"Novembre",11,"Décembre",12,NA())</f>
        <v>12</v>
      </c>
      <c r="C137" t="str">
        <f>BUDGET!C137</f>
        <v>Export</v>
      </c>
      <c r="D137" t="str">
        <f>BUDGET!D137</f>
        <v>composants</v>
      </c>
      <c r="E137" t="s">
        <v>48</v>
      </c>
      <c r="F137" s="35">
        <f>BUDGET!E137</f>
        <v>998</v>
      </c>
      <c r="G137" s="18">
        <f>BUDGET!F137</f>
        <v>44910</v>
      </c>
      <c r="H137" s="36">
        <f>BUDGET!G137</f>
        <v>18163.600000000002</v>
      </c>
      <c r="I137" s="36">
        <f>BUDGET!H137</f>
        <v>9780.4</v>
      </c>
      <c r="J137" s="36">
        <f>BUDGET!I137</f>
        <v>3592.8</v>
      </c>
    </row>
    <row r="138" spans="1:10">
      <c r="A138" t="str">
        <f>BUDGET!A138</f>
        <v>Décembre</v>
      </c>
      <c r="B138" s="51" cm="1">
        <f t="array" ref="B138">_xlfn.SWITCH(TRIM(A138),"Janvier",1,"Février",2,"Mars",3,"Avril",4,"Mai",5,"Juin",6,"Juillet",7,"Août",8,"Septembre",9,"Octobre",10,"Novembre",11,"Décembre",12,NA())</f>
        <v>12</v>
      </c>
      <c r="C138" t="str">
        <f>BUDGET!C138</f>
        <v>IDF</v>
      </c>
      <c r="D138" t="str">
        <f>BUDGET!D138</f>
        <v>Equipements</v>
      </c>
      <c r="E138" t="s">
        <v>48</v>
      </c>
      <c r="F138" s="35">
        <f>BUDGET!E138</f>
        <v>283</v>
      </c>
      <c r="G138" s="18">
        <f>BUDGET!F138</f>
        <v>90560</v>
      </c>
      <c r="H138" s="36">
        <f>BUDGET!G138</f>
        <v>38629.5</v>
      </c>
      <c r="I138" s="36">
        <f>BUDGET!H138</f>
        <v>20800.5</v>
      </c>
      <c r="J138" s="36">
        <f>BUDGET!I138</f>
        <v>7244.8</v>
      </c>
    </row>
    <row r="139" spans="1:10">
      <c r="A139" t="str">
        <f>BUDGET!A139</f>
        <v>Décembre</v>
      </c>
      <c r="B139" s="51" cm="1">
        <f t="array" ref="B139">_xlfn.SWITCH(TRIM(A139),"Janvier",1,"Février",2,"Mars",3,"Avril",4,"Mai",5,"Juin",6,"Juillet",7,"Août",8,"Septembre",9,"Octobre",10,"Novembre",11,"Décembre",12,NA())</f>
        <v>12</v>
      </c>
      <c r="C139" t="str">
        <f>BUDGET!C139</f>
        <v>Nord</v>
      </c>
      <c r="D139" t="str">
        <f>BUDGET!D139</f>
        <v>Equipements</v>
      </c>
      <c r="E139" t="s">
        <v>48</v>
      </c>
      <c r="F139" s="35">
        <f>BUDGET!E139</f>
        <v>179</v>
      </c>
      <c r="G139" s="18">
        <f>BUDGET!F139</f>
        <v>57280</v>
      </c>
      <c r="H139" s="36">
        <f>BUDGET!G139</f>
        <v>24433.5</v>
      </c>
      <c r="I139" s="36">
        <f>BUDGET!H139</f>
        <v>13156.5</v>
      </c>
      <c r="J139" s="36">
        <f>BUDGET!I139</f>
        <v>4582.4000000000005</v>
      </c>
    </row>
    <row r="140" spans="1:10">
      <c r="A140" t="str">
        <f>BUDGET!A140</f>
        <v>Décembre</v>
      </c>
      <c r="B140" s="51" cm="1">
        <f t="array" ref="B140">_xlfn.SWITCH(TRIM(A140),"Janvier",1,"Février",2,"Mars",3,"Avril",4,"Mai",5,"Juin",6,"Juillet",7,"Août",8,"Septembre",9,"Octobre",10,"Novembre",11,"Décembre",12,NA())</f>
        <v>12</v>
      </c>
      <c r="C140" t="str">
        <f>BUDGET!C140</f>
        <v>Sud</v>
      </c>
      <c r="D140" t="str">
        <f>BUDGET!D140</f>
        <v>Equipements</v>
      </c>
      <c r="E140" t="s">
        <v>48</v>
      </c>
      <c r="F140" s="35">
        <f>BUDGET!E140</f>
        <v>164</v>
      </c>
      <c r="G140" s="18">
        <f>BUDGET!F140</f>
        <v>52480</v>
      </c>
      <c r="H140" s="36">
        <f>BUDGET!G140</f>
        <v>22386</v>
      </c>
      <c r="I140" s="36">
        <f>BUDGET!H140</f>
        <v>12054</v>
      </c>
      <c r="J140" s="36">
        <f>BUDGET!I140</f>
        <v>4198.3999999999996</v>
      </c>
    </row>
    <row r="141" spans="1:10">
      <c r="A141" t="str">
        <f>BUDGET!A141</f>
        <v>Décembre</v>
      </c>
      <c r="B141" s="51" cm="1">
        <f t="array" ref="B141">_xlfn.SWITCH(TRIM(A141),"Janvier",1,"Février",2,"Mars",3,"Avril",4,"Mai",5,"Juin",6,"Juillet",7,"Août",8,"Septembre",9,"Octobre",10,"Novembre",11,"Décembre",12,NA())</f>
        <v>12</v>
      </c>
      <c r="C141" t="str">
        <f>BUDGET!C141</f>
        <v>Export</v>
      </c>
      <c r="D141" t="str">
        <f>BUDGET!D141</f>
        <v>Equipements</v>
      </c>
      <c r="E141" t="s">
        <v>48</v>
      </c>
      <c r="F141" s="35">
        <f>BUDGET!E141</f>
        <v>119</v>
      </c>
      <c r="G141" s="18">
        <f>BUDGET!F141</f>
        <v>38080</v>
      </c>
      <c r="H141" s="36">
        <f>BUDGET!G141</f>
        <v>16243.5</v>
      </c>
      <c r="I141" s="36">
        <f>BUDGET!H141</f>
        <v>8746.5</v>
      </c>
      <c r="J141" s="36">
        <f>BUDGET!I141</f>
        <v>3046.4</v>
      </c>
    </row>
    <row r="142" spans="1:10">
      <c r="A142" t="str">
        <f>BUDGET!A142</f>
        <v>Décembre</v>
      </c>
      <c r="B142" s="51" cm="1">
        <f t="array" ref="B142">_xlfn.SWITCH(TRIM(A142),"Janvier",1,"Février",2,"Mars",3,"Avril",4,"Mai",5,"Juin",6,"Juillet",7,"Août",8,"Septembre",9,"Octobre",10,"Novembre",11,"Décembre",12,NA())</f>
        <v>12</v>
      </c>
      <c r="C142" t="str">
        <f>BUDGET!C142</f>
        <v>IDF</v>
      </c>
      <c r="D142" t="str">
        <f>BUDGET!D142</f>
        <v>Services</v>
      </c>
      <c r="E142" t="s">
        <v>48</v>
      </c>
      <c r="F142" s="35">
        <f>BUDGET!E142</f>
        <v>173</v>
      </c>
      <c r="G142" s="18">
        <f>BUDGET!F142</f>
        <v>25950</v>
      </c>
      <c r="H142" s="36">
        <f>BUDGET!G142</f>
        <v>10120.5</v>
      </c>
      <c r="I142" s="36">
        <f>BUDGET!H142</f>
        <v>5449.5</v>
      </c>
      <c r="J142" s="36">
        <f>BUDGET!I142</f>
        <v>2076</v>
      </c>
    </row>
    <row r="143" spans="1:10">
      <c r="A143" t="str">
        <f>BUDGET!A143</f>
        <v>Décembre</v>
      </c>
      <c r="B143" s="51" cm="1">
        <f t="array" ref="B143">_xlfn.SWITCH(TRIM(A143),"Janvier",1,"Février",2,"Mars",3,"Avril",4,"Mai",5,"Juin",6,"Juillet",7,"Août",8,"Septembre",9,"Octobre",10,"Novembre",11,"Décembre",12,NA())</f>
        <v>12</v>
      </c>
      <c r="C143" t="str">
        <f>BUDGET!C143</f>
        <v>Nord</v>
      </c>
      <c r="D143" t="str">
        <f>BUDGET!D143</f>
        <v>Services</v>
      </c>
      <c r="E143" t="s">
        <v>48</v>
      </c>
      <c r="F143" s="35">
        <f>BUDGET!E143</f>
        <v>109</v>
      </c>
      <c r="G143" s="18">
        <f>BUDGET!F143</f>
        <v>16350</v>
      </c>
      <c r="H143" s="36">
        <f>BUDGET!G143</f>
        <v>6376.5</v>
      </c>
      <c r="I143" s="36">
        <f>BUDGET!H143</f>
        <v>3433.5</v>
      </c>
      <c r="J143" s="36">
        <f>BUDGET!I143</f>
        <v>1308</v>
      </c>
    </row>
    <row r="144" spans="1:10">
      <c r="A144" t="str">
        <f>BUDGET!A144</f>
        <v>Décembre</v>
      </c>
      <c r="B144" s="51" cm="1">
        <f t="array" ref="B144">_xlfn.SWITCH(TRIM(A144),"Janvier",1,"Février",2,"Mars",3,"Avril",4,"Mai",5,"Juin",6,"Juillet",7,"Août",8,"Septembre",9,"Octobre",10,"Novembre",11,"Décembre",12,NA())</f>
        <v>12</v>
      </c>
      <c r="C144" t="str">
        <f>BUDGET!C144</f>
        <v>Sud</v>
      </c>
      <c r="D144" t="str">
        <f>BUDGET!D144</f>
        <v>Services</v>
      </c>
      <c r="E144" t="s">
        <v>48</v>
      </c>
      <c r="F144" s="35">
        <f>BUDGET!E144</f>
        <v>100</v>
      </c>
      <c r="G144" s="18">
        <f>BUDGET!F144</f>
        <v>15000</v>
      </c>
      <c r="H144" s="36">
        <f>BUDGET!G144</f>
        <v>5850</v>
      </c>
      <c r="I144" s="36">
        <f>BUDGET!H144</f>
        <v>3150</v>
      </c>
      <c r="J144" s="36">
        <f>BUDGET!I144</f>
        <v>1200</v>
      </c>
    </row>
    <row r="145" spans="1:10">
      <c r="A145" t="str">
        <f>BUDGET!A145</f>
        <v>Décembre</v>
      </c>
      <c r="B145" s="51" cm="1">
        <f t="array" ref="B145">_xlfn.SWITCH(TRIM(A145),"Janvier",1,"Février",2,"Mars",3,"Avril",4,"Mai",5,"Juin",6,"Juillet",7,"Août",8,"Septembre",9,"Octobre",10,"Novembre",11,"Décembre",12,NA())</f>
        <v>12</v>
      </c>
      <c r="C145" t="str">
        <f>BUDGET!C145</f>
        <v>Export</v>
      </c>
      <c r="D145" t="str">
        <f>BUDGET!D145</f>
        <v>Services</v>
      </c>
      <c r="E145" t="s">
        <v>48</v>
      </c>
      <c r="F145" s="35">
        <f>BUDGET!E145</f>
        <v>73</v>
      </c>
      <c r="G145" s="18">
        <f>BUDGET!F145</f>
        <v>10950</v>
      </c>
      <c r="H145" s="36">
        <f>BUDGET!G145</f>
        <v>4270.5</v>
      </c>
      <c r="I145" s="36">
        <f>BUDGET!H145</f>
        <v>2299.5</v>
      </c>
      <c r="J145" s="36">
        <f>BUDGET!I145</f>
        <v>876</v>
      </c>
    </row>
    <row r="146" spans="1:10">
      <c r="A146" t="str">
        <f>REEL!A2</f>
        <v xml:space="preserve">Janvier </v>
      </c>
      <c r="B146" s="51" cm="1">
        <f t="array" ref="B146">_xlfn.SWITCH(TRIM(A146),"Janvier",1,"Février",2,"Mars",3,"Avril",4,"Mai",5,"Juin",6,"Juillet",7,"Août",8,"Septembre",9,"Octobre",10,"Novembre",11,"Décembre",12,NA())</f>
        <v>1</v>
      </c>
      <c r="C146" t="str">
        <f>REEL!C2</f>
        <v>IDF</v>
      </c>
      <c r="D146" t="str">
        <f>REEL!D2</f>
        <v>composants</v>
      </c>
      <c r="E146" t="s">
        <v>49</v>
      </c>
      <c r="F146" s="35">
        <f>REEL!E2</f>
        <v>1804</v>
      </c>
      <c r="G146" s="18">
        <f>REEL!F2</f>
        <v>79791.69</v>
      </c>
      <c r="H146" s="36">
        <f>REEL!G2</f>
        <v>32702.51</v>
      </c>
      <c r="I146" s="36">
        <f>REEL!H2</f>
        <v>18043.73</v>
      </c>
      <c r="J146" s="36">
        <f>REEL!I2</f>
        <v>6315.18</v>
      </c>
    </row>
    <row r="147" spans="1:10">
      <c r="A147" t="str">
        <f>REEL!A3</f>
        <v xml:space="preserve">Janvier </v>
      </c>
      <c r="B147" s="51" cm="1">
        <f t="array" ref="B147">_xlfn.SWITCH(TRIM(A147),"Janvier",1,"Février",2,"Mars",3,"Avril",4,"Mai",5,"Juin",6,"Juillet",7,"Août",8,"Septembre",9,"Octobre",10,"Novembre",11,"Décembre",12,NA())</f>
        <v>1</v>
      </c>
      <c r="C147" t="str">
        <f>REEL!C3</f>
        <v>Nord</v>
      </c>
      <c r="D147" t="str">
        <f>REEL!D3</f>
        <v>composants</v>
      </c>
      <c r="E147" t="s">
        <v>49</v>
      </c>
      <c r="F147" s="35">
        <f>REEL!E3</f>
        <v>1123</v>
      </c>
      <c r="G147" s="18">
        <f>REEL!F3</f>
        <v>50291.38</v>
      </c>
      <c r="H147" s="36">
        <f>REEL!G3</f>
        <v>20096.43</v>
      </c>
      <c r="I147" s="36">
        <f>REEL!H3</f>
        <v>11240.93</v>
      </c>
      <c r="J147" s="36">
        <f>REEL!I3</f>
        <v>3973.54</v>
      </c>
    </row>
    <row r="148" spans="1:10">
      <c r="A148" t="str">
        <f>REEL!A4</f>
        <v xml:space="preserve">Janvier </v>
      </c>
      <c r="B148" s="51" cm="1">
        <f t="array" ref="B148">_xlfn.SWITCH(TRIM(A148),"Janvier",1,"Février",2,"Mars",3,"Avril",4,"Mai",5,"Juin",6,"Juillet",7,"Août",8,"Septembre",9,"Octobre",10,"Novembre",11,"Décembre",12,NA())</f>
        <v>1</v>
      </c>
      <c r="C148" t="str">
        <f>REEL!C4</f>
        <v>Sud</v>
      </c>
      <c r="D148" t="str">
        <f>REEL!D4</f>
        <v>composants</v>
      </c>
      <c r="E148" t="s">
        <v>49</v>
      </c>
      <c r="F148" s="35">
        <f>REEL!E4</f>
        <v>1011</v>
      </c>
      <c r="G148" s="18">
        <f>REEL!F4</f>
        <v>46357.53</v>
      </c>
      <c r="H148" s="36">
        <f>REEL!G4</f>
        <v>17992.310000000001</v>
      </c>
      <c r="I148" s="36">
        <f>REEL!H4</f>
        <v>9946.5400000000009</v>
      </c>
      <c r="J148" s="36">
        <f>REEL!I4</f>
        <v>3652.28</v>
      </c>
    </row>
    <row r="149" spans="1:10">
      <c r="A149" t="str">
        <f>REEL!A5</f>
        <v xml:space="preserve">Janvier </v>
      </c>
      <c r="B149" s="51" cm="1">
        <f t="array" ref="B149">_xlfn.SWITCH(TRIM(A149),"Janvier",1,"Février",2,"Mars",3,"Avril",4,"Mai",5,"Juin",6,"Juillet",7,"Août",8,"Septembre",9,"Octobre",10,"Novembre",11,"Décembre",12,NA())</f>
        <v>1</v>
      </c>
      <c r="C149" t="str">
        <f>REEL!C5</f>
        <v>Export</v>
      </c>
      <c r="D149" t="str">
        <f>REEL!D5</f>
        <v>composants</v>
      </c>
      <c r="E149" t="s">
        <v>49</v>
      </c>
      <c r="F149" s="35">
        <f>REEL!E5</f>
        <v>729</v>
      </c>
      <c r="G149" s="18">
        <f>REEL!F5</f>
        <v>32813.599999999999</v>
      </c>
      <c r="H149" s="36">
        <f>REEL!G5</f>
        <v>12926.24</v>
      </c>
      <c r="I149" s="36">
        <f>REEL!H5</f>
        <v>7153.37</v>
      </c>
      <c r="J149" s="36">
        <f>REEL!I5</f>
        <v>2595.0100000000002</v>
      </c>
    </row>
    <row r="150" spans="1:10">
      <c r="A150" t="str">
        <f>REEL!A6</f>
        <v xml:space="preserve">Janvier </v>
      </c>
      <c r="B150" s="51" cm="1">
        <f t="array" ref="B150">_xlfn.SWITCH(TRIM(A150),"Janvier",1,"Février",2,"Mars",3,"Avril",4,"Mai",5,"Juin",6,"Juillet",7,"Août",8,"Septembre",9,"Octobre",10,"Novembre",11,"Décembre",12,NA())</f>
        <v>1</v>
      </c>
      <c r="C150" t="str">
        <f>REEL!C6</f>
        <v>IDF</v>
      </c>
      <c r="D150" t="str">
        <f>REEL!D6</f>
        <v>Equipements</v>
      </c>
      <c r="E150" t="s">
        <v>49</v>
      </c>
      <c r="F150" s="35">
        <f>REEL!E6</f>
        <v>219</v>
      </c>
      <c r="G150" s="18">
        <f>REEL!F6</f>
        <v>70576.98</v>
      </c>
      <c r="H150" s="36">
        <f>REEL!G6</f>
        <v>29813.15</v>
      </c>
      <c r="I150" s="36">
        <f>REEL!H6</f>
        <v>16233.12</v>
      </c>
      <c r="J150" s="36">
        <f>REEL!I6</f>
        <v>5644.62</v>
      </c>
    </row>
    <row r="151" spans="1:10">
      <c r="A151" t="str">
        <f>REEL!A7</f>
        <v xml:space="preserve">Janvier </v>
      </c>
      <c r="B151" s="51" cm="1">
        <f t="array" ref="B151">_xlfn.SWITCH(TRIM(A151),"Janvier",1,"Février",2,"Mars",3,"Avril",4,"Mai",5,"Juin",6,"Juillet",7,"Août",8,"Septembre",9,"Octobre",10,"Novembre",11,"Décembre",12,NA())</f>
        <v>1</v>
      </c>
      <c r="C151" t="str">
        <f>REEL!C7</f>
        <v>Nord</v>
      </c>
      <c r="D151" t="str">
        <f>REEL!D7</f>
        <v>Equipements</v>
      </c>
      <c r="E151" t="s">
        <v>49</v>
      </c>
      <c r="F151" s="35">
        <f>REEL!E7</f>
        <v>133</v>
      </c>
      <c r="G151" s="18">
        <f>REEL!F7</f>
        <v>42465.23</v>
      </c>
      <c r="H151" s="36">
        <f>REEL!G7</f>
        <v>17717.96</v>
      </c>
      <c r="I151" s="36">
        <f>REEL!H7</f>
        <v>9906.25</v>
      </c>
      <c r="J151" s="36">
        <f>REEL!I7</f>
        <v>3424.2</v>
      </c>
    </row>
    <row r="152" spans="1:10">
      <c r="A152" t="str">
        <f>REEL!A8</f>
        <v xml:space="preserve">Janvier </v>
      </c>
      <c r="B152" s="51" cm="1">
        <f t="array" ref="B152">_xlfn.SWITCH(TRIM(A152),"Janvier",1,"Février",2,"Mars",3,"Avril",4,"Mai",5,"Juin",6,"Juillet",7,"Août",8,"Septembre",9,"Octobre",10,"Novembre",11,"Décembre",12,NA())</f>
        <v>1</v>
      </c>
      <c r="C152" t="str">
        <f>REEL!C8</f>
        <v>Sud</v>
      </c>
      <c r="D152" t="str">
        <f>REEL!D8</f>
        <v>Equipements</v>
      </c>
      <c r="E152" t="s">
        <v>49</v>
      </c>
      <c r="F152" s="35">
        <f>REEL!E8</f>
        <v>127</v>
      </c>
      <c r="G152" s="18">
        <f>REEL!F8</f>
        <v>40550.99</v>
      </c>
      <c r="H152" s="36">
        <f>REEL!G8</f>
        <v>17603.09</v>
      </c>
      <c r="I152" s="36">
        <f>REEL!H8</f>
        <v>9152.5400000000009</v>
      </c>
      <c r="J152" s="36">
        <f>REEL!I8</f>
        <v>3205.13</v>
      </c>
    </row>
    <row r="153" spans="1:10">
      <c r="A153" t="str">
        <f>REEL!A9</f>
        <v xml:space="preserve">Janvier </v>
      </c>
      <c r="B153" s="51" cm="1">
        <f t="array" ref="B153">_xlfn.SWITCH(TRIM(A153),"Janvier",1,"Février",2,"Mars",3,"Avril",4,"Mai",5,"Juin",6,"Juillet",7,"Août",8,"Septembre",9,"Octobre",10,"Novembre",11,"Décembre",12,NA())</f>
        <v>1</v>
      </c>
      <c r="C153" t="str">
        <f>REEL!C9</f>
        <v>Export</v>
      </c>
      <c r="D153" t="str">
        <f>REEL!D9</f>
        <v>Equipements</v>
      </c>
      <c r="E153" t="s">
        <v>49</v>
      </c>
      <c r="F153" s="35">
        <f>REEL!E9</f>
        <v>88</v>
      </c>
      <c r="G153" s="18">
        <f>REEL!F9</f>
        <v>27947.03</v>
      </c>
      <c r="H153" s="36">
        <f>REEL!G9</f>
        <v>11991.17</v>
      </c>
      <c r="I153" s="36">
        <f>REEL!H9</f>
        <v>6442.79</v>
      </c>
      <c r="J153" s="36">
        <f>REEL!I9</f>
        <v>2295.9699999999998</v>
      </c>
    </row>
    <row r="154" spans="1:10">
      <c r="A154" t="str">
        <f>REEL!A10</f>
        <v xml:space="preserve">Janvier </v>
      </c>
      <c r="B154" s="51" cm="1">
        <f t="array" ref="B154">_xlfn.SWITCH(TRIM(A154),"Janvier",1,"Février",2,"Mars",3,"Avril",4,"Mai",5,"Juin",6,"Juillet",7,"Août",8,"Septembre",9,"Octobre",10,"Novembre",11,"Décembre",12,NA())</f>
        <v>1</v>
      </c>
      <c r="C154" t="str">
        <f>REEL!C10</f>
        <v>IDF</v>
      </c>
      <c r="D154" t="str">
        <f>REEL!D10</f>
        <v>Services</v>
      </c>
      <c r="E154" t="s">
        <v>49</v>
      </c>
      <c r="F154" s="35">
        <f>REEL!E10</f>
        <v>127</v>
      </c>
      <c r="G154" s="18">
        <f>REEL!F10</f>
        <v>19343.03</v>
      </c>
      <c r="H154" s="36">
        <f>REEL!G10</f>
        <v>7491.2</v>
      </c>
      <c r="I154" s="36">
        <f>REEL!H10</f>
        <v>4060.89</v>
      </c>
      <c r="J154" s="36">
        <f>REEL!I10</f>
        <v>1513.87</v>
      </c>
    </row>
    <row r="155" spans="1:10">
      <c r="A155" t="str">
        <f>REEL!A11</f>
        <v xml:space="preserve">Janvier </v>
      </c>
      <c r="B155" s="51" cm="1">
        <f t="array" ref="B155">_xlfn.SWITCH(TRIM(A155),"Janvier",1,"Février",2,"Mars",3,"Avril",4,"Mai",5,"Juin",6,"Juillet",7,"Août",8,"Septembre",9,"Octobre",10,"Novembre",11,"Décembre",12,NA())</f>
        <v>1</v>
      </c>
      <c r="C155" t="str">
        <f>REEL!C11</f>
        <v>Nord</v>
      </c>
      <c r="D155" t="str">
        <f>REEL!D11</f>
        <v>Services</v>
      </c>
      <c r="E155" t="s">
        <v>49</v>
      </c>
      <c r="F155" s="35">
        <f>REEL!E11</f>
        <v>83</v>
      </c>
      <c r="G155" s="18">
        <f>REEL!F11</f>
        <v>12482.92</v>
      </c>
      <c r="H155" s="36">
        <f>REEL!G11</f>
        <v>4984.55</v>
      </c>
      <c r="I155" s="36">
        <f>REEL!H11</f>
        <v>2633.98</v>
      </c>
      <c r="J155" s="36">
        <f>REEL!I11</f>
        <v>1025.24</v>
      </c>
    </row>
    <row r="156" spans="1:10">
      <c r="A156" t="str">
        <f>REEL!A12</f>
        <v xml:space="preserve">Janvier </v>
      </c>
      <c r="B156" s="51" cm="1">
        <f t="array" ref="B156">_xlfn.SWITCH(TRIM(A156),"Janvier",1,"Février",2,"Mars",3,"Avril",4,"Mai",5,"Juin",6,"Juillet",7,"Août",8,"Septembre",9,"Octobre",10,"Novembre",11,"Décembre",12,NA())</f>
        <v>1</v>
      </c>
      <c r="C156" t="str">
        <f>REEL!C12</f>
        <v>Sud</v>
      </c>
      <c r="D156" t="str">
        <f>REEL!D12</f>
        <v>Services</v>
      </c>
      <c r="E156" t="s">
        <v>49</v>
      </c>
      <c r="F156" s="35">
        <f>REEL!E12</f>
        <v>73</v>
      </c>
      <c r="G156" s="18">
        <f>REEL!F12</f>
        <v>11058.05</v>
      </c>
      <c r="H156" s="36">
        <f>REEL!G12</f>
        <v>4172.83</v>
      </c>
      <c r="I156" s="36">
        <f>REEL!H12</f>
        <v>2294.8200000000002</v>
      </c>
      <c r="J156" s="36">
        <f>REEL!I12</f>
        <v>870.81</v>
      </c>
    </row>
    <row r="157" spans="1:10">
      <c r="A157" t="str">
        <f>REEL!A13</f>
        <v xml:space="preserve">Janvier </v>
      </c>
      <c r="B157" s="51" cm="1">
        <f t="array" ref="B157">_xlfn.SWITCH(TRIM(A157),"Janvier",1,"Février",2,"Mars",3,"Avril",4,"Mai",5,"Juin",6,"Juillet",7,"Août",8,"Septembre",9,"Octobre",10,"Novembre",11,"Décembre",12,NA())</f>
        <v>1</v>
      </c>
      <c r="C157" t="str">
        <f>REEL!C13</f>
        <v>Export</v>
      </c>
      <c r="D157" t="str">
        <f>REEL!D13</f>
        <v>Services</v>
      </c>
      <c r="E157" t="s">
        <v>49</v>
      </c>
      <c r="F157" s="35">
        <f>REEL!E13</f>
        <v>54</v>
      </c>
      <c r="G157" s="18">
        <f>REEL!F13</f>
        <v>8145.76</v>
      </c>
      <c r="H157" s="36">
        <f>REEL!G13</f>
        <v>3066.63</v>
      </c>
      <c r="I157" s="36">
        <f>REEL!H13</f>
        <v>1659.33</v>
      </c>
      <c r="J157" s="36">
        <f>REEL!I13</f>
        <v>634.66999999999996</v>
      </c>
    </row>
    <row r="158" spans="1:10">
      <c r="A158" t="str">
        <f>REEL!A14</f>
        <v xml:space="preserve">Février </v>
      </c>
      <c r="B158" s="51" cm="1">
        <f t="array" ref="B158">_xlfn.SWITCH(TRIM(A158),"Janvier",1,"Février",2,"Mars",3,"Avril",4,"Mai",5,"Juin",6,"Juillet",7,"Août",8,"Septembre",9,"Octobre",10,"Novembre",11,"Décembre",12,NA())</f>
        <v>2</v>
      </c>
      <c r="C158" t="str">
        <f>REEL!C14</f>
        <v>IDF</v>
      </c>
      <c r="D158" t="str">
        <f>REEL!D14</f>
        <v>composants</v>
      </c>
      <c r="E158" t="s">
        <v>49</v>
      </c>
      <c r="F158" s="35">
        <f>REEL!E14</f>
        <v>1890</v>
      </c>
      <c r="G158" s="18">
        <f>REEL!F14</f>
        <v>85716.33</v>
      </c>
      <c r="H158" s="36">
        <f>REEL!G14</f>
        <v>33373.22</v>
      </c>
      <c r="I158" s="36">
        <f>REEL!H14</f>
        <v>18073.849999999999</v>
      </c>
      <c r="J158" s="36">
        <f>REEL!I14</f>
        <v>6960.24</v>
      </c>
    </row>
    <row r="159" spans="1:10">
      <c r="A159" t="str">
        <f>REEL!A15</f>
        <v xml:space="preserve">Février </v>
      </c>
      <c r="B159" s="51" cm="1">
        <f t="array" ref="B159">_xlfn.SWITCH(TRIM(A159),"Janvier",1,"Février",2,"Mars",3,"Avril",4,"Mai",5,"Juin",6,"Juillet",7,"Août",8,"Septembre",9,"Octobre",10,"Novembre",11,"Décembre",12,NA())</f>
        <v>2</v>
      </c>
      <c r="C159" t="str">
        <f>REEL!C15</f>
        <v>Nord</v>
      </c>
      <c r="D159" t="str">
        <f>REEL!D15</f>
        <v>composants</v>
      </c>
      <c r="E159" t="s">
        <v>49</v>
      </c>
      <c r="F159" s="35">
        <f>REEL!E15</f>
        <v>1172</v>
      </c>
      <c r="G159" s="18">
        <f>REEL!F15</f>
        <v>52140.77</v>
      </c>
      <c r="H159" s="36">
        <f>REEL!G15</f>
        <v>21921.77</v>
      </c>
      <c r="I159" s="36">
        <f>REEL!H15</f>
        <v>11315.83</v>
      </c>
      <c r="J159" s="36">
        <f>REEL!I15</f>
        <v>4049.73</v>
      </c>
    </row>
    <row r="160" spans="1:10">
      <c r="A160" t="str">
        <f>REEL!A16</f>
        <v xml:space="preserve">Février </v>
      </c>
      <c r="B160" s="51" cm="1">
        <f t="array" ref="B160">_xlfn.SWITCH(TRIM(A160),"Janvier",1,"Février",2,"Mars",3,"Avril",4,"Mai",5,"Juin",6,"Juillet",7,"Août",8,"Septembre",9,"Octobre",10,"Novembre",11,"Décembre",12,NA())</f>
        <v>2</v>
      </c>
      <c r="C160" t="str">
        <f>REEL!C16</f>
        <v>Sud</v>
      </c>
      <c r="D160" t="str">
        <f>REEL!D16</f>
        <v>composants</v>
      </c>
      <c r="E160" t="s">
        <v>49</v>
      </c>
      <c r="F160" s="35">
        <f>REEL!E16</f>
        <v>1074</v>
      </c>
      <c r="G160" s="18">
        <f>REEL!F16</f>
        <v>48730.45</v>
      </c>
      <c r="H160" s="36">
        <f>REEL!G16</f>
        <v>19844.7</v>
      </c>
      <c r="I160" s="36">
        <f>REEL!H16</f>
        <v>10559.45</v>
      </c>
      <c r="J160" s="36">
        <f>REEL!I16</f>
        <v>3891.14</v>
      </c>
    </row>
    <row r="161" spans="1:10">
      <c r="A161" t="str">
        <f>REEL!A17</f>
        <v xml:space="preserve">Février </v>
      </c>
      <c r="B161" s="51" cm="1">
        <f t="array" ref="B161">_xlfn.SWITCH(TRIM(A161),"Janvier",1,"Février",2,"Mars",3,"Avril",4,"Mai",5,"Juin",6,"Juillet",7,"Août",8,"Septembre",9,"Octobre",10,"Novembre",11,"Décembre",12,NA())</f>
        <v>2</v>
      </c>
      <c r="C161" t="str">
        <f>REEL!C17</f>
        <v>Export</v>
      </c>
      <c r="D161" t="str">
        <f>REEL!D17</f>
        <v>composants</v>
      </c>
      <c r="E161" t="s">
        <v>49</v>
      </c>
      <c r="F161" s="35">
        <f>REEL!E17</f>
        <v>772</v>
      </c>
      <c r="G161" s="18">
        <f>REEL!F17</f>
        <v>34510.699999999997</v>
      </c>
      <c r="H161" s="36">
        <f>REEL!G17</f>
        <v>14194.29</v>
      </c>
      <c r="I161" s="36">
        <f>REEL!H17</f>
        <v>7664.71</v>
      </c>
      <c r="J161" s="36">
        <f>REEL!I17</f>
        <v>2827.4</v>
      </c>
    </row>
    <row r="162" spans="1:10">
      <c r="A162" t="str">
        <f>REEL!A18</f>
        <v xml:space="preserve">Février </v>
      </c>
      <c r="B162" s="51" cm="1">
        <f t="array" ref="B162">_xlfn.SWITCH(TRIM(A162),"Janvier",1,"Février",2,"Mars",3,"Avril",4,"Mai",5,"Juin",6,"Juillet",7,"Août",8,"Septembre",9,"Octobre",10,"Novembre",11,"Décembre",12,NA())</f>
        <v>2</v>
      </c>
      <c r="C162" t="str">
        <f>REEL!C18</f>
        <v>IDF</v>
      </c>
      <c r="D162" t="str">
        <f>REEL!D18</f>
        <v>Equipements</v>
      </c>
      <c r="E162" t="s">
        <v>49</v>
      </c>
      <c r="F162" s="35">
        <f>REEL!E18</f>
        <v>215</v>
      </c>
      <c r="G162" s="18">
        <f>REEL!F18</f>
        <v>67437.81</v>
      </c>
      <c r="H162" s="36">
        <f>REEL!G18</f>
        <v>29711.66</v>
      </c>
      <c r="I162" s="36">
        <f>REEL!H18</f>
        <v>15586.83</v>
      </c>
      <c r="J162" s="36">
        <f>REEL!I18</f>
        <v>5471.91</v>
      </c>
    </row>
    <row r="163" spans="1:10">
      <c r="A163" t="str">
        <f>REEL!A19</f>
        <v xml:space="preserve">Février </v>
      </c>
      <c r="B163" s="51" cm="1">
        <f t="array" ref="B163">_xlfn.SWITCH(TRIM(A163),"Janvier",1,"Février",2,"Mars",3,"Avril",4,"Mai",5,"Juin",6,"Juillet",7,"Août",8,"Septembre",9,"Octobre",10,"Novembre",11,"Décembre",12,NA())</f>
        <v>2</v>
      </c>
      <c r="C163" t="str">
        <f>REEL!C19</f>
        <v>Nord</v>
      </c>
      <c r="D163" t="str">
        <f>REEL!D19</f>
        <v>Equipements</v>
      </c>
      <c r="E163" t="s">
        <v>49</v>
      </c>
      <c r="F163" s="35">
        <f>REEL!E19</f>
        <v>133</v>
      </c>
      <c r="G163" s="18">
        <f>REEL!F19</f>
        <v>42125.71</v>
      </c>
      <c r="H163" s="36">
        <f>REEL!G19</f>
        <v>17930.599999999999</v>
      </c>
      <c r="I163" s="36">
        <f>REEL!H19</f>
        <v>9908.01</v>
      </c>
      <c r="J163" s="36">
        <f>REEL!I19</f>
        <v>3463.81</v>
      </c>
    </row>
    <row r="164" spans="1:10">
      <c r="A164" t="str">
        <f>REEL!A20</f>
        <v xml:space="preserve">Février </v>
      </c>
      <c r="B164" s="51" cm="1">
        <f t="array" ref="B164">_xlfn.SWITCH(TRIM(A164),"Janvier",1,"Février",2,"Mars",3,"Avril",4,"Mai",5,"Juin",6,"Juillet",7,"Août",8,"Septembre",9,"Octobre",10,"Novembre",11,"Décembre",12,NA())</f>
        <v>2</v>
      </c>
      <c r="C164" t="str">
        <f>REEL!C20</f>
        <v>Sud</v>
      </c>
      <c r="D164" t="str">
        <f>REEL!D20</f>
        <v>Equipements</v>
      </c>
      <c r="E164" t="s">
        <v>49</v>
      </c>
      <c r="F164" s="35">
        <f>REEL!E20</f>
        <v>126</v>
      </c>
      <c r="G164" s="18">
        <f>REEL!F20</f>
        <v>39779.4</v>
      </c>
      <c r="H164" s="36">
        <f>REEL!G20</f>
        <v>16982.439999999999</v>
      </c>
      <c r="I164" s="36">
        <f>REEL!H20</f>
        <v>9383.2999999999993</v>
      </c>
      <c r="J164" s="36">
        <f>REEL!I20</f>
        <v>3213.78</v>
      </c>
    </row>
    <row r="165" spans="1:10">
      <c r="A165" t="str">
        <f>REEL!A21</f>
        <v xml:space="preserve">Février </v>
      </c>
      <c r="B165" s="51" cm="1">
        <f t="array" ref="B165">_xlfn.SWITCH(TRIM(A165),"Janvier",1,"Février",2,"Mars",3,"Avril",4,"Mai",5,"Juin",6,"Juillet",7,"Août",8,"Septembre",9,"Octobre",10,"Novembre",11,"Décembre",12,NA())</f>
        <v>2</v>
      </c>
      <c r="C165" t="str">
        <f>REEL!C21</f>
        <v>Export</v>
      </c>
      <c r="D165" t="str">
        <f>REEL!D21</f>
        <v>Equipements</v>
      </c>
      <c r="E165" t="s">
        <v>49</v>
      </c>
      <c r="F165" s="35">
        <f>REEL!E21</f>
        <v>93</v>
      </c>
      <c r="G165" s="18">
        <f>REEL!F21</f>
        <v>30231.47</v>
      </c>
      <c r="H165" s="36">
        <f>REEL!G21</f>
        <v>12805.6</v>
      </c>
      <c r="I165" s="36">
        <f>REEL!H21</f>
        <v>6788.3</v>
      </c>
      <c r="J165" s="36">
        <f>REEL!I21</f>
        <v>2388.56</v>
      </c>
    </row>
    <row r="166" spans="1:10">
      <c r="A166" t="str">
        <f>REEL!A22</f>
        <v xml:space="preserve">Février </v>
      </c>
      <c r="B166" s="51" cm="1">
        <f t="array" ref="B166">_xlfn.SWITCH(TRIM(A166),"Janvier",1,"Février",2,"Mars",3,"Avril",4,"Mai",5,"Juin",6,"Juillet",7,"Août",8,"Septembre",9,"Octobre",10,"Novembre",11,"Décembre",12,NA())</f>
        <v>2</v>
      </c>
      <c r="C166" t="str">
        <f>REEL!C22</f>
        <v>IDF</v>
      </c>
      <c r="D166" t="str">
        <f>REEL!D22</f>
        <v>Services</v>
      </c>
      <c r="E166" t="s">
        <v>49</v>
      </c>
      <c r="F166" s="35">
        <f>REEL!E22</f>
        <v>138</v>
      </c>
      <c r="G166" s="18">
        <f>REEL!F22</f>
        <v>20720.46</v>
      </c>
      <c r="H166" s="36">
        <f>REEL!G22</f>
        <v>7952.2</v>
      </c>
      <c r="I166" s="36">
        <f>REEL!H22</f>
        <v>4239.88</v>
      </c>
      <c r="J166" s="36">
        <f>REEL!I22</f>
        <v>1664.92</v>
      </c>
    </row>
    <row r="167" spans="1:10">
      <c r="A167" t="str">
        <f>REEL!A23</f>
        <v xml:space="preserve">Février </v>
      </c>
      <c r="B167" s="51" cm="1">
        <f t="array" ref="B167">_xlfn.SWITCH(TRIM(A167),"Janvier",1,"Février",2,"Mars",3,"Avril",4,"Mai",5,"Juin",6,"Juillet",7,"Août",8,"Septembre",9,"Octobre",10,"Novembre",11,"Décembre",12,NA())</f>
        <v>2</v>
      </c>
      <c r="C167" t="str">
        <f>REEL!C23</f>
        <v>Nord</v>
      </c>
      <c r="D167" t="str">
        <f>REEL!D23</f>
        <v>Services</v>
      </c>
      <c r="E167" t="s">
        <v>49</v>
      </c>
      <c r="F167" s="35">
        <f>REEL!E23</f>
        <v>81</v>
      </c>
      <c r="G167" s="18">
        <f>REEL!F23</f>
        <v>12050.4</v>
      </c>
      <c r="H167" s="36">
        <f>REEL!G23</f>
        <v>4698.6099999999997</v>
      </c>
      <c r="I167" s="36">
        <f>REEL!H23</f>
        <v>2509.09</v>
      </c>
      <c r="J167" s="36">
        <f>REEL!I23</f>
        <v>946.71</v>
      </c>
    </row>
    <row r="168" spans="1:10">
      <c r="A168" t="str">
        <f>REEL!A24</f>
        <v xml:space="preserve">Février </v>
      </c>
      <c r="B168" s="51" cm="1">
        <f t="array" ref="B168">_xlfn.SWITCH(TRIM(A168),"Janvier",1,"Février",2,"Mars",3,"Avril",4,"Mai",5,"Juin",6,"Juillet",7,"Août",8,"Septembre",9,"Octobre",10,"Novembre",11,"Décembre",12,NA())</f>
        <v>2</v>
      </c>
      <c r="C168" t="str">
        <f>REEL!C24</f>
        <v>Sud</v>
      </c>
      <c r="D168" t="str">
        <f>REEL!D24</f>
        <v>Services</v>
      </c>
      <c r="E168" t="s">
        <v>49</v>
      </c>
      <c r="F168" s="35">
        <f>REEL!E24</f>
        <v>80</v>
      </c>
      <c r="G168" s="18">
        <f>REEL!F24</f>
        <v>12239.52</v>
      </c>
      <c r="H168" s="36">
        <f>REEL!G24</f>
        <v>4629.7700000000004</v>
      </c>
      <c r="I168" s="36">
        <f>REEL!H24</f>
        <v>2495.2800000000002</v>
      </c>
      <c r="J168" s="36">
        <f>REEL!I24</f>
        <v>1000.28</v>
      </c>
    </row>
    <row r="169" spans="1:10">
      <c r="A169" t="str">
        <f>REEL!A25</f>
        <v xml:space="preserve">Février </v>
      </c>
      <c r="B169" s="51" cm="1">
        <f t="array" ref="B169">_xlfn.SWITCH(TRIM(A169),"Janvier",1,"Février",2,"Mars",3,"Avril",4,"Mai",5,"Juin",6,"Juillet",7,"Août",8,"Septembre",9,"Octobre",10,"Novembre",11,"Décembre",12,NA())</f>
        <v>2</v>
      </c>
      <c r="C169" t="str">
        <f>REEL!C25</f>
        <v>Export</v>
      </c>
      <c r="D169" t="str">
        <f>REEL!D25</f>
        <v>Services</v>
      </c>
      <c r="E169" t="s">
        <v>49</v>
      </c>
      <c r="F169" s="35">
        <f>REEL!E25</f>
        <v>55</v>
      </c>
      <c r="G169" s="18">
        <f>REEL!F25</f>
        <v>8155.99</v>
      </c>
      <c r="H169" s="36">
        <f>REEL!G25</f>
        <v>3172.09</v>
      </c>
      <c r="I169" s="36">
        <f>REEL!H25</f>
        <v>1699.97</v>
      </c>
      <c r="J169" s="36">
        <f>REEL!I25</f>
        <v>651.41</v>
      </c>
    </row>
    <row r="170" spans="1:10">
      <c r="A170" t="str">
        <f>REEL!A26</f>
        <v xml:space="preserve">Mars </v>
      </c>
      <c r="B170" s="51" cm="1">
        <f t="array" ref="B170">_xlfn.SWITCH(TRIM(A170),"Janvier",1,"Février",2,"Mars",3,"Avril",4,"Mai",5,"Juin",6,"Juillet",7,"Août",8,"Septembre",9,"Octobre",10,"Novembre",11,"Décembre",12,NA())</f>
        <v>3</v>
      </c>
      <c r="C170" t="str">
        <f>REEL!C26</f>
        <v>IDF</v>
      </c>
      <c r="D170" t="str">
        <f>REEL!D26</f>
        <v>composants</v>
      </c>
      <c r="E170" t="s">
        <v>49</v>
      </c>
      <c r="F170" s="35">
        <f>REEL!E26</f>
        <v>1982</v>
      </c>
      <c r="G170" s="18">
        <f>REEL!F26</f>
        <v>89317.09</v>
      </c>
      <c r="H170" s="36">
        <f>REEL!G26</f>
        <v>36009.360000000001</v>
      </c>
      <c r="I170" s="36">
        <f>REEL!H26</f>
        <v>19363.45</v>
      </c>
      <c r="J170" s="36">
        <f>REEL!I26</f>
        <v>7280.94</v>
      </c>
    </row>
    <row r="171" spans="1:10">
      <c r="A171" t="str">
        <f>REEL!A27</f>
        <v xml:space="preserve">Mars </v>
      </c>
      <c r="B171" s="51" cm="1">
        <f t="array" ref="B171">_xlfn.SWITCH(TRIM(A171),"Janvier",1,"Février",2,"Mars",3,"Avril",4,"Mai",5,"Juin",6,"Juillet",7,"Août",8,"Septembre",9,"Octobre",10,"Novembre",11,"Décembre",12,NA())</f>
        <v>3</v>
      </c>
      <c r="C171" t="str">
        <f>REEL!C27</f>
        <v>Nord</v>
      </c>
      <c r="D171" t="str">
        <f>REEL!D27</f>
        <v>composants</v>
      </c>
      <c r="E171" t="s">
        <v>49</v>
      </c>
      <c r="F171" s="35">
        <f>REEL!E27</f>
        <v>1293</v>
      </c>
      <c r="G171" s="18">
        <f>REEL!F27</f>
        <v>58378.05</v>
      </c>
      <c r="H171" s="36">
        <f>REEL!G27</f>
        <v>23384.31</v>
      </c>
      <c r="I171" s="36">
        <f>REEL!H27</f>
        <v>12685.9</v>
      </c>
      <c r="J171" s="36">
        <f>REEL!I27</f>
        <v>4801.53</v>
      </c>
    </row>
    <row r="172" spans="1:10">
      <c r="A172" t="str">
        <f>REEL!A28</f>
        <v xml:space="preserve">Mars </v>
      </c>
      <c r="B172" s="51" cm="1">
        <f t="array" ref="B172">_xlfn.SWITCH(TRIM(A172),"Janvier",1,"Février",2,"Mars",3,"Avril",4,"Mai",5,"Juin",6,"Juillet",7,"Août",8,"Septembre",9,"Octobre",10,"Novembre",11,"Décembre",12,NA())</f>
        <v>3</v>
      </c>
      <c r="C172" t="str">
        <f>REEL!C28</f>
        <v>Sud</v>
      </c>
      <c r="D172" t="str">
        <f>REEL!D28</f>
        <v>composants</v>
      </c>
      <c r="E172" t="s">
        <v>49</v>
      </c>
      <c r="F172" s="35">
        <f>REEL!E28</f>
        <v>1144</v>
      </c>
      <c r="G172" s="18">
        <f>REEL!F28</f>
        <v>51098.14</v>
      </c>
      <c r="H172" s="36">
        <f>REEL!G28</f>
        <v>21232.240000000002</v>
      </c>
      <c r="I172" s="36">
        <f>REEL!H28</f>
        <v>10930.93</v>
      </c>
      <c r="J172" s="36">
        <f>REEL!I28</f>
        <v>4048.46</v>
      </c>
    </row>
    <row r="173" spans="1:10">
      <c r="A173" t="str">
        <f>REEL!A29</f>
        <v xml:space="preserve">Mars </v>
      </c>
      <c r="B173" s="51" cm="1">
        <f t="array" ref="B173">_xlfn.SWITCH(TRIM(A173),"Janvier",1,"Février",2,"Mars",3,"Avril",4,"Mai",5,"Juin",6,"Juillet",7,"Août",8,"Septembre",9,"Octobre",10,"Novembre",11,"Décembre",12,NA())</f>
        <v>3</v>
      </c>
      <c r="C173" t="str">
        <f>REEL!C29</f>
        <v>Export</v>
      </c>
      <c r="D173" t="str">
        <f>REEL!D29</f>
        <v>composants</v>
      </c>
      <c r="E173" t="s">
        <v>49</v>
      </c>
      <c r="F173" s="35">
        <f>REEL!E29</f>
        <v>804</v>
      </c>
      <c r="G173" s="18">
        <f>REEL!F29</f>
        <v>36058.75</v>
      </c>
      <c r="H173" s="36">
        <f>REEL!G29</f>
        <v>14853.24</v>
      </c>
      <c r="I173" s="36">
        <f>REEL!H29</f>
        <v>7735.52</v>
      </c>
      <c r="J173" s="36">
        <f>REEL!I29</f>
        <v>2938.91</v>
      </c>
    </row>
    <row r="174" spans="1:10">
      <c r="A174" t="str">
        <f>REEL!A30</f>
        <v xml:space="preserve">Mars </v>
      </c>
      <c r="B174" s="51" cm="1">
        <f t="array" ref="B174">_xlfn.SWITCH(TRIM(A174),"Janvier",1,"Février",2,"Mars",3,"Avril",4,"Mai",5,"Juin",6,"Juillet",7,"Août",8,"Septembre",9,"Octobre",10,"Novembre",11,"Décembre",12,NA())</f>
        <v>3</v>
      </c>
      <c r="C174" t="str">
        <f>REEL!C30</f>
        <v>IDF</v>
      </c>
      <c r="D174" t="str">
        <f>REEL!D30</f>
        <v>Equipements</v>
      </c>
      <c r="E174" t="s">
        <v>49</v>
      </c>
      <c r="F174" s="35">
        <f>REEL!E30</f>
        <v>241</v>
      </c>
      <c r="G174" s="18">
        <f>REEL!F30</f>
        <v>78073.710000000006</v>
      </c>
      <c r="H174" s="36">
        <f>REEL!G30</f>
        <v>32817.379999999997</v>
      </c>
      <c r="I174" s="36">
        <f>REEL!H30</f>
        <v>18022.72</v>
      </c>
      <c r="J174" s="36">
        <f>REEL!I30</f>
        <v>6182.2</v>
      </c>
    </row>
    <row r="175" spans="1:10">
      <c r="A175" t="str">
        <f>REEL!A31</f>
        <v xml:space="preserve">Mars </v>
      </c>
      <c r="B175" s="51" cm="1">
        <f t="array" ref="B175">_xlfn.SWITCH(TRIM(A175),"Janvier",1,"Février",2,"Mars",3,"Avril",4,"Mai",5,"Juin",6,"Juillet",7,"Août",8,"Septembre",9,"Octobre",10,"Novembre",11,"Décembre",12,NA())</f>
        <v>3</v>
      </c>
      <c r="C175" t="str">
        <f>REEL!C31</f>
        <v>Nord</v>
      </c>
      <c r="D175" t="str">
        <f>REEL!D31</f>
        <v>Equipements</v>
      </c>
      <c r="E175" t="s">
        <v>49</v>
      </c>
      <c r="F175" s="35">
        <f>REEL!E31</f>
        <v>150</v>
      </c>
      <c r="G175" s="18">
        <f>REEL!F31</f>
        <v>47431.519999999997</v>
      </c>
      <c r="H175" s="36">
        <f>REEL!G31</f>
        <v>20287.16</v>
      </c>
      <c r="I175" s="36">
        <f>REEL!H31</f>
        <v>11094.84</v>
      </c>
      <c r="J175" s="36">
        <f>REEL!I31</f>
        <v>3905.01</v>
      </c>
    </row>
    <row r="176" spans="1:10">
      <c r="A176" t="str">
        <f>REEL!A32</f>
        <v xml:space="preserve">Mars </v>
      </c>
      <c r="B176" s="51" cm="1">
        <f t="array" ref="B176">_xlfn.SWITCH(TRIM(A176),"Janvier",1,"Février",2,"Mars",3,"Avril",4,"Mai",5,"Juin",6,"Juillet",7,"Août",8,"Septembre",9,"Octobre",10,"Novembre",11,"Décembre",12,NA())</f>
        <v>3</v>
      </c>
      <c r="C176" t="str">
        <f>REEL!C32</f>
        <v>Sud</v>
      </c>
      <c r="D176" t="str">
        <f>REEL!D32</f>
        <v>Equipements</v>
      </c>
      <c r="E176" t="s">
        <v>49</v>
      </c>
      <c r="F176" s="35">
        <f>REEL!E32</f>
        <v>136</v>
      </c>
      <c r="G176" s="18">
        <f>REEL!F32</f>
        <v>43666.67</v>
      </c>
      <c r="H176" s="36">
        <f>REEL!G32</f>
        <v>18144.490000000002</v>
      </c>
      <c r="I176" s="36">
        <f>REEL!H32</f>
        <v>10100.370000000001</v>
      </c>
      <c r="J176" s="36">
        <f>REEL!I32</f>
        <v>3399.27</v>
      </c>
    </row>
    <row r="177" spans="1:10">
      <c r="A177" t="str">
        <f>REEL!A33</f>
        <v xml:space="preserve">Mars </v>
      </c>
      <c r="B177" s="51" cm="1">
        <f t="array" ref="B177">_xlfn.SWITCH(TRIM(A177),"Janvier",1,"Février",2,"Mars",3,"Avril",4,"Mai",5,"Juin",6,"Juillet",7,"Août",8,"Septembre",9,"Octobre",10,"Novembre",11,"Décembre",12,NA())</f>
        <v>3</v>
      </c>
      <c r="C177" t="str">
        <f>REEL!C33</f>
        <v>Export</v>
      </c>
      <c r="D177" t="str">
        <f>REEL!D33</f>
        <v>Equipements</v>
      </c>
      <c r="E177" t="s">
        <v>49</v>
      </c>
      <c r="F177" s="35">
        <f>REEL!E33</f>
        <v>95</v>
      </c>
      <c r="G177" s="18">
        <f>REEL!F33</f>
        <v>30613.86</v>
      </c>
      <c r="H177" s="36">
        <f>REEL!G33</f>
        <v>12862.3</v>
      </c>
      <c r="I177" s="36">
        <f>REEL!H33</f>
        <v>6906.15</v>
      </c>
      <c r="J177" s="36">
        <f>REEL!I33</f>
        <v>2501.0700000000002</v>
      </c>
    </row>
    <row r="178" spans="1:10">
      <c r="A178" t="str">
        <f>REEL!A34</f>
        <v xml:space="preserve">Mars </v>
      </c>
      <c r="B178" s="51" cm="1">
        <f t="array" ref="B178">_xlfn.SWITCH(TRIM(A178),"Janvier",1,"Février",2,"Mars",3,"Avril",4,"Mai",5,"Juin",6,"Juillet",7,"Août",8,"Septembre",9,"Octobre",10,"Novembre",11,"Décembre",12,NA())</f>
        <v>3</v>
      </c>
      <c r="C178" t="str">
        <f>REEL!C34</f>
        <v>IDF</v>
      </c>
      <c r="D178" t="str">
        <f>REEL!D34</f>
        <v>Services</v>
      </c>
      <c r="E178" t="s">
        <v>49</v>
      </c>
      <c r="F178" s="35">
        <f>REEL!E34</f>
        <v>146</v>
      </c>
      <c r="G178" s="18">
        <f>REEL!F34</f>
        <v>21760.19</v>
      </c>
      <c r="H178" s="36">
        <f>REEL!G34</f>
        <v>8495.23</v>
      </c>
      <c r="I178" s="36">
        <f>REEL!H34</f>
        <v>4669.79</v>
      </c>
      <c r="J178" s="36">
        <f>REEL!I34</f>
        <v>1738.81</v>
      </c>
    </row>
    <row r="179" spans="1:10">
      <c r="A179" t="str">
        <f>REEL!A35</f>
        <v xml:space="preserve">Mars </v>
      </c>
      <c r="B179" s="51" cm="1">
        <f t="array" ref="B179">_xlfn.SWITCH(TRIM(A179),"Janvier",1,"Février",2,"Mars",3,"Avril",4,"Mai",5,"Juin",6,"Juillet",7,"Août",8,"Septembre",9,"Octobre",10,"Novembre",11,"Décembre",12,NA())</f>
        <v>3</v>
      </c>
      <c r="C179" t="str">
        <f>REEL!C35</f>
        <v>Nord</v>
      </c>
      <c r="D179" t="str">
        <f>REEL!D35</f>
        <v>Services</v>
      </c>
      <c r="E179" t="s">
        <v>49</v>
      </c>
      <c r="F179" s="35">
        <f>REEL!E35</f>
        <v>88</v>
      </c>
      <c r="G179" s="18">
        <f>REEL!F35</f>
        <v>13402.18</v>
      </c>
      <c r="H179" s="36">
        <f>REEL!G35</f>
        <v>5192.96</v>
      </c>
      <c r="I179" s="36">
        <f>REEL!H35</f>
        <v>2735.39</v>
      </c>
      <c r="J179" s="36">
        <f>REEL!I35</f>
        <v>1084.27</v>
      </c>
    </row>
    <row r="180" spans="1:10">
      <c r="A180" t="str">
        <f>REEL!A36</f>
        <v xml:space="preserve">Mars </v>
      </c>
      <c r="B180" s="51" cm="1">
        <f t="array" ref="B180">_xlfn.SWITCH(TRIM(A180),"Janvier",1,"Février",2,"Mars",3,"Avril",4,"Mai",5,"Juin",6,"Juillet",7,"Août",8,"Septembre",9,"Octobre",10,"Novembre",11,"Décembre",12,NA())</f>
        <v>3</v>
      </c>
      <c r="C180" t="str">
        <f>REEL!C36</f>
        <v>Sud</v>
      </c>
      <c r="D180" t="str">
        <f>REEL!D36</f>
        <v>Services</v>
      </c>
      <c r="E180" t="s">
        <v>49</v>
      </c>
      <c r="F180" s="35">
        <f>REEL!E36</f>
        <v>84</v>
      </c>
      <c r="G180" s="18">
        <f>REEL!F36</f>
        <v>12683.14</v>
      </c>
      <c r="H180" s="36">
        <f>REEL!G36</f>
        <v>5039.3</v>
      </c>
      <c r="I180" s="36">
        <f>REEL!H36</f>
        <v>2644.41</v>
      </c>
      <c r="J180" s="36">
        <f>REEL!I36</f>
        <v>989.1</v>
      </c>
    </row>
    <row r="181" spans="1:10">
      <c r="A181" t="str">
        <f>REEL!A37</f>
        <v xml:space="preserve">Mars </v>
      </c>
      <c r="B181" s="51" cm="1">
        <f t="array" ref="B181">_xlfn.SWITCH(TRIM(A181),"Janvier",1,"Février",2,"Mars",3,"Avril",4,"Mai",5,"Juin",6,"Juillet",7,"Août",8,"Septembre",9,"Octobre",10,"Novembre",11,"Décembre",12,NA())</f>
        <v>3</v>
      </c>
      <c r="C181" t="str">
        <f>REEL!C37</f>
        <v>Export</v>
      </c>
      <c r="D181" t="str">
        <f>REEL!D37</f>
        <v>Services</v>
      </c>
      <c r="E181" t="s">
        <v>49</v>
      </c>
      <c r="F181" s="35">
        <f>REEL!E37</f>
        <v>60</v>
      </c>
      <c r="G181" s="18">
        <f>REEL!F37</f>
        <v>8938.39</v>
      </c>
      <c r="H181" s="36">
        <f>REEL!G37</f>
        <v>3507.11</v>
      </c>
      <c r="I181" s="36">
        <f>REEL!H37</f>
        <v>1848.55</v>
      </c>
      <c r="J181" s="36">
        <f>REEL!I37</f>
        <v>710.4</v>
      </c>
    </row>
    <row r="182" spans="1:10">
      <c r="A182" t="str">
        <f>REEL!A38</f>
        <v>Avril</v>
      </c>
      <c r="B182" s="51" cm="1">
        <f t="array" ref="B182">_xlfn.SWITCH(TRIM(A182),"Janvier",1,"Février",2,"Mars",3,"Avril",4,"Mai",5,"Juin",6,"Juillet",7,"Août",8,"Septembre",9,"Octobre",10,"Novembre",11,"Décembre",12,NA())</f>
        <v>4</v>
      </c>
      <c r="C182" t="str">
        <f>REEL!C38</f>
        <v>IDF</v>
      </c>
      <c r="D182" t="str">
        <f>REEL!D38</f>
        <v>composants</v>
      </c>
      <c r="E182" t="s">
        <v>49</v>
      </c>
      <c r="F182" s="35">
        <f>REEL!E38</f>
        <v>2054</v>
      </c>
      <c r="G182" s="18">
        <f>REEL!F38</f>
        <v>92222.33</v>
      </c>
      <c r="H182" s="36">
        <f>REEL!G38</f>
        <v>40112.910000000003</v>
      </c>
      <c r="I182" s="36">
        <f>REEL!H38</f>
        <v>20590.2</v>
      </c>
      <c r="J182" s="36">
        <f>REEL!I38</f>
        <v>7413.18</v>
      </c>
    </row>
    <row r="183" spans="1:10">
      <c r="A183" t="str">
        <f>REEL!A39</f>
        <v>Avril</v>
      </c>
      <c r="B183" s="51" cm="1">
        <f t="array" ref="B183">_xlfn.SWITCH(TRIM(A183),"Janvier",1,"Février",2,"Mars",3,"Avril",4,"Mai",5,"Juin",6,"Juillet",7,"Août",8,"Septembre",9,"Octobre",10,"Novembre",11,"Décembre",12,NA())</f>
        <v>4</v>
      </c>
      <c r="C183" t="str">
        <f>REEL!C39</f>
        <v>Nord</v>
      </c>
      <c r="D183" t="str">
        <f>REEL!D39</f>
        <v>composants</v>
      </c>
      <c r="E183" t="s">
        <v>49</v>
      </c>
      <c r="F183" s="35">
        <f>REEL!E39</f>
        <v>1288</v>
      </c>
      <c r="G183" s="18">
        <f>REEL!F39</f>
        <v>58223.42</v>
      </c>
      <c r="H183" s="36">
        <f>REEL!G39</f>
        <v>25825.35</v>
      </c>
      <c r="I183" s="36">
        <f>REEL!H39</f>
        <v>12823.21</v>
      </c>
      <c r="J183" s="36">
        <f>REEL!I39</f>
        <v>4791.96</v>
      </c>
    </row>
    <row r="184" spans="1:10">
      <c r="A184" t="str">
        <f>REEL!A40</f>
        <v>Avril</v>
      </c>
      <c r="B184" s="51" cm="1">
        <f t="array" ref="B184">_xlfn.SWITCH(TRIM(A184),"Janvier",1,"Février",2,"Mars",3,"Avril",4,"Mai",5,"Juin",6,"Juillet",7,"Août",8,"Septembre",9,"Octobre",10,"Novembre",11,"Décembre",12,NA())</f>
        <v>4</v>
      </c>
      <c r="C184" t="str">
        <f>REEL!C40</f>
        <v>Sud</v>
      </c>
      <c r="D184" t="str">
        <f>REEL!D40</f>
        <v>composants</v>
      </c>
      <c r="E184" t="s">
        <v>49</v>
      </c>
      <c r="F184" s="35">
        <f>REEL!E40</f>
        <v>1213</v>
      </c>
      <c r="G184" s="18">
        <f>REEL!F40</f>
        <v>55284.15</v>
      </c>
      <c r="H184" s="36">
        <f>REEL!G40</f>
        <v>25139.200000000001</v>
      </c>
      <c r="I184" s="36">
        <f>REEL!H40</f>
        <v>11638.49</v>
      </c>
      <c r="J184" s="36">
        <f>REEL!I40</f>
        <v>4347.1899999999996</v>
      </c>
    </row>
    <row r="185" spans="1:10">
      <c r="A185" t="str">
        <f>REEL!A41</f>
        <v>Avril</v>
      </c>
      <c r="B185" s="51" cm="1">
        <f t="array" ref="B185">_xlfn.SWITCH(TRIM(A185),"Janvier",1,"Février",2,"Mars",3,"Avril",4,"Mai",5,"Juin",6,"Juillet",7,"Août",8,"Septembre",9,"Octobre",10,"Novembre",11,"Décembre",12,NA())</f>
        <v>4</v>
      </c>
      <c r="C185" t="str">
        <f>REEL!C41</f>
        <v>Export</v>
      </c>
      <c r="D185" t="str">
        <f>REEL!D41</f>
        <v>composants</v>
      </c>
      <c r="E185" t="s">
        <v>49</v>
      </c>
      <c r="F185" s="35">
        <f>REEL!E41</f>
        <v>834</v>
      </c>
      <c r="G185" s="18">
        <f>REEL!F41</f>
        <v>37426.379999999997</v>
      </c>
      <c r="H185" s="36">
        <f>REEL!G41</f>
        <v>16868.62</v>
      </c>
      <c r="I185" s="36">
        <f>REEL!H41</f>
        <v>8246.2000000000007</v>
      </c>
      <c r="J185" s="36">
        <f>REEL!I41</f>
        <v>3067.03</v>
      </c>
    </row>
    <row r="186" spans="1:10">
      <c r="A186" t="str">
        <f>REEL!A42</f>
        <v>Avril</v>
      </c>
      <c r="B186" s="51" cm="1">
        <f t="array" ref="B186">_xlfn.SWITCH(TRIM(A186),"Janvier",1,"Février",2,"Mars",3,"Avril",4,"Mai",5,"Juin",6,"Juillet",7,"Août",8,"Septembre",9,"Octobre",10,"Novembre",11,"Décembre",12,NA())</f>
        <v>4</v>
      </c>
      <c r="C186" t="str">
        <f>REEL!C42</f>
        <v>IDF</v>
      </c>
      <c r="D186" t="str">
        <f>REEL!D42</f>
        <v>Equipements</v>
      </c>
      <c r="E186" t="s">
        <v>49</v>
      </c>
      <c r="F186" s="35">
        <f>REEL!E42</f>
        <v>242</v>
      </c>
      <c r="G186" s="18">
        <f>REEL!F42</f>
        <v>77072.639999999999</v>
      </c>
      <c r="H186" s="36">
        <f>REEL!G42</f>
        <v>32088.09</v>
      </c>
      <c r="I186" s="36">
        <f>REEL!H42</f>
        <v>17569</v>
      </c>
      <c r="J186" s="36">
        <f>REEL!I42</f>
        <v>6091.24</v>
      </c>
    </row>
    <row r="187" spans="1:10">
      <c r="A187" t="str">
        <f>REEL!A43</f>
        <v>Avril</v>
      </c>
      <c r="B187" s="51" cm="1">
        <f t="array" ref="B187">_xlfn.SWITCH(TRIM(A187),"Janvier",1,"Février",2,"Mars",3,"Avril",4,"Mai",5,"Juin",6,"Juillet",7,"Août",8,"Septembre",9,"Octobre",10,"Novembre",11,"Décembre",12,NA())</f>
        <v>4</v>
      </c>
      <c r="C187" t="str">
        <f>REEL!C43</f>
        <v>Nord</v>
      </c>
      <c r="D187" t="str">
        <f>REEL!D43</f>
        <v>Equipements</v>
      </c>
      <c r="E187" t="s">
        <v>49</v>
      </c>
      <c r="F187" s="35">
        <f>REEL!E43</f>
        <v>156</v>
      </c>
      <c r="G187" s="18">
        <f>REEL!F43</f>
        <v>49232.26</v>
      </c>
      <c r="H187" s="36">
        <f>REEL!G43</f>
        <v>21454.36</v>
      </c>
      <c r="I187" s="36">
        <f>REEL!H43</f>
        <v>11566.08</v>
      </c>
      <c r="J187" s="36">
        <f>REEL!I43</f>
        <v>3893.55</v>
      </c>
    </row>
    <row r="188" spans="1:10">
      <c r="A188" t="str">
        <f>REEL!A44</f>
        <v>Avril</v>
      </c>
      <c r="B188" s="51" cm="1">
        <f t="array" ref="B188">_xlfn.SWITCH(TRIM(A188),"Janvier",1,"Février",2,"Mars",3,"Avril",4,"Mai",5,"Juin",6,"Juillet",7,"Août",8,"Septembre",9,"Octobre",10,"Novembre",11,"Décembre",12,NA())</f>
        <v>4</v>
      </c>
      <c r="C188" t="str">
        <f>REEL!C44</f>
        <v>Sud</v>
      </c>
      <c r="D188" t="str">
        <f>REEL!D44</f>
        <v>Equipements</v>
      </c>
      <c r="E188" t="s">
        <v>49</v>
      </c>
      <c r="F188" s="35">
        <f>REEL!E44</f>
        <v>139</v>
      </c>
      <c r="G188" s="18">
        <f>REEL!F44</f>
        <v>44635.33</v>
      </c>
      <c r="H188" s="36">
        <f>REEL!G44</f>
        <v>19291.72</v>
      </c>
      <c r="I188" s="36">
        <f>REEL!H44</f>
        <v>10303.790000000001</v>
      </c>
      <c r="J188" s="36">
        <f>REEL!I44</f>
        <v>3663.69</v>
      </c>
    </row>
    <row r="189" spans="1:10">
      <c r="A189" t="str">
        <f>REEL!A45</f>
        <v>Avril</v>
      </c>
      <c r="B189" s="51" cm="1">
        <f t="array" ref="B189">_xlfn.SWITCH(TRIM(A189),"Janvier",1,"Février",2,"Mars",3,"Avril",4,"Mai",5,"Juin",6,"Juillet",7,"Août",8,"Septembre",9,"Octobre",10,"Novembre",11,"Décembre",12,NA())</f>
        <v>4</v>
      </c>
      <c r="C189" t="str">
        <f>REEL!C45</f>
        <v>Export</v>
      </c>
      <c r="D189" t="str">
        <f>REEL!D45</f>
        <v>Equipements</v>
      </c>
      <c r="E189" t="s">
        <v>49</v>
      </c>
      <c r="F189" s="35">
        <f>REEL!E45</f>
        <v>98</v>
      </c>
      <c r="G189" s="18">
        <f>REEL!F45</f>
        <v>31847.26</v>
      </c>
      <c r="H189" s="36">
        <f>REEL!G45</f>
        <v>13009.16</v>
      </c>
      <c r="I189" s="36">
        <f>REEL!H45</f>
        <v>7105.38</v>
      </c>
      <c r="J189" s="36">
        <f>REEL!I45</f>
        <v>2584.42</v>
      </c>
    </row>
    <row r="190" spans="1:10">
      <c r="A190" t="str">
        <f>REEL!A46</f>
        <v>Avril</v>
      </c>
      <c r="B190" s="51" cm="1">
        <f t="array" ref="B190">_xlfn.SWITCH(TRIM(A190),"Janvier",1,"Février",2,"Mars",3,"Avril",4,"Mai",5,"Juin",6,"Juillet",7,"Août",8,"Septembre",9,"Octobre",10,"Novembre",11,"Décembre",12,NA())</f>
        <v>4</v>
      </c>
      <c r="C190" t="str">
        <f>REEL!C46</f>
        <v>IDF</v>
      </c>
      <c r="D190" t="str">
        <f>REEL!D46</f>
        <v>Services</v>
      </c>
      <c r="E190" t="s">
        <v>49</v>
      </c>
      <c r="F190" s="35">
        <f>REEL!E46</f>
        <v>152</v>
      </c>
      <c r="G190" s="18">
        <f>REEL!F46</f>
        <v>23098.62</v>
      </c>
      <c r="H190" s="36">
        <f>REEL!G46</f>
        <v>8945.7000000000007</v>
      </c>
      <c r="I190" s="36">
        <f>REEL!H46</f>
        <v>4845.3900000000003</v>
      </c>
      <c r="J190" s="36">
        <f>REEL!I46</f>
        <v>1832.84</v>
      </c>
    </row>
    <row r="191" spans="1:10">
      <c r="A191" t="str">
        <f>REEL!A47</f>
        <v>Avril</v>
      </c>
      <c r="B191" s="51" cm="1">
        <f t="array" ref="B191">_xlfn.SWITCH(TRIM(A191),"Janvier",1,"Février",2,"Mars",3,"Avril",4,"Mai",5,"Juin",6,"Juillet",7,"Août",8,"Septembre",9,"Octobre",10,"Novembre",11,"Décembre",12,NA())</f>
        <v>4</v>
      </c>
      <c r="C191" t="str">
        <f>REEL!C47</f>
        <v>Nord</v>
      </c>
      <c r="D191" t="str">
        <f>REEL!D47</f>
        <v>Services</v>
      </c>
      <c r="E191" t="s">
        <v>49</v>
      </c>
      <c r="F191" s="35">
        <f>REEL!E47</f>
        <v>90</v>
      </c>
      <c r="G191" s="18">
        <f>REEL!F47</f>
        <v>13441.51</v>
      </c>
      <c r="H191" s="36">
        <f>REEL!G47</f>
        <v>5147.47</v>
      </c>
      <c r="I191" s="36">
        <f>REEL!H47</f>
        <v>2791.62</v>
      </c>
      <c r="J191" s="36">
        <f>REEL!I47</f>
        <v>1051.73</v>
      </c>
    </row>
    <row r="192" spans="1:10">
      <c r="A192" t="str">
        <f>REEL!A48</f>
        <v>Avril</v>
      </c>
      <c r="B192" s="51" cm="1">
        <f t="array" ref="B192">_xlfn.SWITCH(TRIM(A192),"Janvier",1,"Février",2,"Mars",3,"Avril",4,"Mai",5,"Juin",6,"Juillet",7,"Août",8,"Septembre",9,"Octobre",10,"Novembre",11,"Décembre",12,NA())</f>
        <v>4</v>
      </c>
      <c r="C192" t="str">
        <f>REEL!C48</f>
        <v>Sud</v>
      </c>
      <c r="D192" t="str">
        <f>REEL!D48</f>
        <v>Services</v>
      </c>
      <c r="E192" t="s">
        <v>49</v>
      </c>
      <c r="F192" s="35">
        <f>REEL!E48</f>
        <v>86</v>
      </c>
      <c r="G192" s="18">
        <f>REEL!F48</f>
        <v>12731.11</v>
      </c>
      <c r="H192" s="36">
        <f>REEL!G48</f>
        <v>4926.0600000000004</v>
      </c>
      <c r="I192" s="36">
        <f>REEL!H48</f>
        <v>2642.01</v>
      </c>
      <c r="J192" s="36">
        <f>REEL!I48</f>
        <v>993.33</v>
      </c>
    </row>
    <row r="193" spans="1:10">
      <c r="A193" t="str">
        <f>REEL!A49</f>
        <v>Avril</v>
      </c>
      <c r="B193" s="51" cm="1">
        <f t="array" ref="B193">_xlfn.SWITCH(TRIM(A193),"Janvier",1,"Février",2,"Mars",3,"Avril",4,"Mai",5,"Juin",6,"Juillet",7,"Août",8,"Septembre",9,"Octobre",10,"Novembre",11,"Décembre",12,NA())</f>
        <v>4</v>
      </c>
      <c r="C193" t="str">
        <f>REEL!C49</f>
        <v>Export</v>
      </c>
      <c r="D193" t="str">
        <f>REEL!D49</f>
        <v>Services</v>
      </c>
      <c r="E193" t="s">
        <v>49</v>
      </c>
      <c r="F193" s="35">
        <f>REEL!E49</f>
        <v>61</v>
      </c>
      <c r="G193" s="18">
        <f>REEL!F49</f>
        <v>9103.5</v>
      </c>
      <c r="H193" s="36">
        <f>REEL!G49</f>
        <v>3615.42</v>
      </c>
      <c r="I193" s="36">
        <f>REEL!H49</f>
        <v>1916.54</v>
      </c>
      <c r="J193" s="36">
        <f>REEL!I49</f>
        <v>737.94</v>
      </c>
    </row>
    <row r="194" spans="1:10">
      <c r="A194" t="str">
        <f>REEL!A50</f>
        <v>Mai</v>
      </c>
      <c r="B194" s="51" cm="1">
        <f t="array" ref="B194">_xlfn.SWITCH(TRIM(A194),"Janvier",1,"Février",2,"Mars",3,"Avril",4,"Mai",5,"Juin",6,"Juillet",7,"Août",8,"Septembre",9,"Octobre",10,"Novembre",11,"Décembre",12,NA())</f>
        <v>5</v>
      </c>
      <c r="C194" t="str">
        <f>REEL!C50</f>
        <v>IDF</v>
      </c>
      <c r="D194" t="str">
        <f>REEL!D50</f>
        <v>composants</v>
      </c>
      <c r="E194" t="s">
        <v>49</v>
      </c>
      <c r="F194" s="35">
        <f>REEL!E50</f>
        <v>1995</v>
      </c>
      <c r="G194" s="18">
        <f>REEL!F50</f>
        <v>89868.52</v>
      </c>
      <c r="H194" s="36">
        <f>REEL!G50</f>
        <v>40594.57</v>
      </c>
      <c r="I194" s="36">
        <f>REEL!H50</f>
        <v>19100.259999999998</v>
      </c>
      <c r="J194" s="36">
        <f>REEL!I50</f>
        <v>6974.74</v>
      </c>
    </row>
    <row r="195" spans="1:10">
      <c r="A195" t="str">
        <f>REEL!A51</f>
        <v>Mai</v>
      </c>
      <c r="B195" s="51" cm="1">
        <f t="array" ref="B195">_xlfn.SWITCH(TRIM(A195),"Janvier",1,"Février",2,"Mars",3,"Avril",4,"Mai",5,"Juin",6,"Juillet",7,"Août",8,"Septembre",9,"Octobre",10,"Novembre",11,"Décembre",12,NA())</f>
        <v>5</v>
      </c>
      <c r="C195" t="str">
        <f>REEL!C51</f>
        <v>Nord</v>
      </c>
      <c r="D195" t="str">
        <f>REEL!D51</f>
        <v>composants</v>
      </c>
      <c r="E195" t="s">
        <v>49</v>
      </c>
      <c r="F195" s="35">
        <f>REEL!E51</f>
        <v>1300</v>
      </c>
      <c r="G195" s="18">
        <f>REEL!F51</f>
        <v>59563.6</v>
      </c>
      <c r="H195" s="36">
        <f>REEL!G51</f>
        <v>25370.73</v>
      </c>
      <c r="I195" s="36">
        <f>REEL!H51</f>
        <v>12725.89</v>
      </c>
      <c r="J195" s="36">
        <f>REEL!I51</f>
        <v>4656.8900000000003</v>
      </c>
    </row>
    <row r="196" spans="1:10">
      <c r="A196" t="str">
        <f>REEL!A52</f>
        <v>Mai</v>
      </c>
      <c r="B196" s="51" cm="1">
        <f t="array" ref="B196">_xlfn.SWITCH(TRIM(A196),"Janvier",1,"Février",2,"Mars",3,"Avril",4,"Mai",5,"Juin",6,"Juillet",7,"Août",8,"Septembre",9,"Octobre",10,"Novembre",11,"Décembre",12,NA())</f>
        <v>5</v>
      </c>
      <c r="C196" t="str">
        <f>REEL!C52</f>
        <v>Sud</v>
      </c>
      <c r="D196" t="str">
        <f>REEL!D52</f>
        <v>composants</v>
      </c>
      <c r="E196" t="s">
        <v>49</v>
      </c>
      <c r="F196" s="35">
        <f>REEL!E52</f>
        <v>1220</v>
      </c>
      <c r="G196" s="18">
        <f>REEL!F52</f>
        <v>53823.8</v>
      </c>
      <c r="H196" s="36">
        <f>REEL!G52</f>
        <v>24151.759999999998</v>
      </c>
      <c r="I196" s="36">
        <f>REEL!H52</f>
        <v>11750.58</v>
      </c>
      <c r="J196" s="36">
        <f>REEL!I52</f>
        <v>4411.2</v>
      </c>
    </row>
    <row r="197" spans="1:10">
      <c r="A197" t="str">
        <f>REEL!A53</f>
        <v>Mai</v>
      </c>
      <c r="B197" s="51" cm="1">
        <f t="array" ref="B197">_xlfn.SWITCH(TRIM(A197),"Janvier",1,"Février",2,"Mars",3,"Avril",4,"Mai",5,"Juin",6,"Juillet",7,"Août",8,"Septembre",9,"Octobre",10,"Novembre",11,"Décembre",12,NA())</f>
        <v>5</v>
      </c>
      <c r="C197" t="str">
        <f>REEL!C53</f>
        <v>Export</v>
      </c>
      <c r="D197" t="str">
        <f>REEL!D53</f>
        <v>composants</v>
      </c>
      <c r="E197" t="s">
        <v>49</v>
      </c>
      <c r="F197" s="35">
        <f>REEL!E53</f>
        <v>877</v>
      </c>
      <c r="G197" s="18">
        <f>REEL!F53</f>
        <v>39198.199999999997</v>
      </c>
      <c r="H197" s="36">
        <f>REEL!G53</f>
        <v>17262.650000000001</v>
      </c>
      <c r="I197" s="36">
        <f>REEL!H53</f>
        <v>8752.7199999999993</v>
      </c>
      <c r="J197" s="36">
        <f>REEL!I53</f>
        <v>3105.16</v>
      </c>
    </row>
    <row r="198" spans="1:10">
      <c r="A198" t="str">
        <f>REEL!A54</f>
        <v>Mai</v>
      </c>
      <c r="B198" s="51" cm="1">
        <f t="array" ref="B198">_xlfn.SWITCH(TRIM(A198),"Janvier",1,"Février",2,"Mars",3,"Avril",4,"Mai",5,"Juin",6,"Juillet",7,"Août",8,"Septembre",9,"Octobre",10,"Novembre",11,"Décembre",12,NA())</f>
        <v>5</v>
      </c>
      <c r="C198" t="str">
        <f>REEL!C54</f>
        <v>IDF</v>
      </c>
      <c r="D198" t="str">
        <f>REEL!D54</f>
        <v>Equipements</v>
      </c>
      <c r="E198" t="s">
        <v>49</v>
      </c>
      <c r="F198" s="35">
        <f>REEL!E54</f>
        <v>236</v>
      </c>
      <c r="G198" s="18">
        <f>REEL!F54</f>
        <v>74440.009999999995</v>
      </c>
      <c r="H198" s="36">
        <f>REEL!G54</f>
        <v>31390.7</v>
      </c>
      <c r="I198" s="36">
        <f>REEL!H54</f>
        <v>17200.099999999999</v>
      </c>
      <c r="J198" s="36">
        <f>REEL!I54</f>
        <v>5954.4</v>
      </c>
    </row>
    <row r="199" spans="1:10">
      <c r="A199" t="str">
        <f>REEL!A55</f>
        <v>Mai</v>
      </c>
      <c r="B199" s="51" cm="1">
        <f t="array" ref="B199">_xlfn.SWITCH(TRIM(A199),"Janvier",1,"Février",2,"Mars",3,"Avril",4,"Mai",5,"Juin",6,"Juillet",7,"Août",8,"Septembre",9,"Octobre",10,"Novembre",11,"Décembre",12,NA())</f>
        <v>5</v>
      </c>
      <c r="C199" t="str">
        <f>REEL!C55</f>
        <v>Nord</v>
      </c>
      <c r="D199" t="str">
        <f>REEL!D55</f>
        <v>Equipements</v>
      </c>
      <c r="E199" t="s">
        <v>49</v>
      </c>
      <c r="F199" s="35">
        <f>REEL!E55</f>
        <v>153</v>
      </c>
      <c r="G199" s="18">
        <f>REEL!F55</f>
        <v>49024.81</v>
      </c>
      <c r="H199" s="36">
        <f>REEL!G55</f>
        <v>21070.46</v>
      </c>
      <c r="I199" s="36">
        <f>REEL!H55</f>
        <v>11248.94</v>
      </c>
      <c r="J199" s="36">
        <f>REEL!I55</f>
        <v>4033.19</v>
      </c>
    </row>
    <row r="200" spans="1:10">
      <c r="A200" t="str">
        <f>REEL!A56</f>
        <v>Mai</v>
      </c>
      <c r="B200" s="51" cm="1">
        <f t="array" ref="B200">_xlfn.SWITCH(TRIM(A200),"Janvier",1,"Février",2,"Mars",3,"Avril",4,"Mai",5,"Juin",6,"Juillet",7,"Août",8,"Septembre",9,"Octobre",10,"Novembre",11,"Décembre",12,NA())</f>
        <v>5</v>
      </c>
      <c r="C200" t="str">
        <f>REEL!C56</f>
        <v>Sud</v>
      </c>
      <c r="D200" t="str">
        <f>REEL!D56</f>
        <v>Equipements</v>
      </c>
      <c r="E200" t="s">
        <v>49</v>
      </c>
      <c r="F200" s="35">
        <f>REEL!E56</f>
        <v>144</v>
      </c>
      <c r="G200" s="18">
        <f>REEL!F56</f>
        <v>45999.21</v>
      </c>
      <c r="H200" s="36">
        <f>REEL!G56</f>
        <v>19311.57</v>
      </c>
      <c r="I200" s="36">
        <f>REEL!H56</f>
        <v>10667.26</v>
      </c>
      <c r="J200" s="36">
        <f>REEL!I56</f>
        <v>3639.75</v>
      </c>
    </row>
    <row r="201" spans="1:10">
      <c r="A201" t="str">
        <f>REEL!A57</f>
        <v>Mai</v>
      </c>
      <c r="B201" s="51" cm="1">
        <f t="array" ref="B201">_xlfn.SWITCH(TRIM(A201),"Janvier",1,"Février",2,"Mars",3,"Avril",4,"Mai",5,"Juin",6,"Juillet",7,"Août",8,"Septembre",9,"Octobre",10,"Novembre",11,"Décembre",12,NA())</f>
        <v>5</v>
      </c>
      <c r="C201" t="str">
        <f>REEL!C57</f>
        <v>Export</v>
      </c>
      <c r="D201" t="str">
        <f>REEL!D57</f>
        <v>Equipements</v>
      </c>
      <c r="E201" t="s">
        <v>49</v>
      </c>
      <c r="F201" s="35">
        <f>REEL!E57</f>
        <v>105</v>
      </c>
      <c r="G201" s="18">
        <f>REEL!F57</f>
        <v>33134.47</v>
      </c>
      <c r="H201" s="36">
        <f>REEL!G57</f>
        <v>14440.14</v>
      </c>
      <c r="I201" s="36">
        <f>REEL!H57</f>
        <v>7794.58</v>
      </c>
      <c r="J201" s="36">
        <f>REEL!I57</f>
        <v>2591.7199999999998</v>
      </c>
    </row>
    <row r="202" spans="1:10">
      <c r="A202" t="str">
        <f>REEL!A58</f>
        <v>Mai</v>
      </c>
      <c r="B202" s="51" cm="1">
        <f t="array" ref="B202">_xlfn.SWITCH(TRIM(A202),"Janvier",1,"Février",2,"Mars",3,"Avril",4,"Mai",5,"Juin",6,"Juillet",7,"Août",8,"Septembre",9,"Octobre",10,"Novembre",11,"Décembre",12,NA())</f>
        <v>5</v>
      </c>
      <c r="C202" t="str">
        <f>REEL!C58</f>
        <v>IDF</v>
      </c>
      <c r="D202" t="str">
        <f>REEL!D58</f>
        <v>Services</v>
      </c>
      <c r="E202" t="s">
        <v>49</v>
      </c>
      <c r="F202" s="35">
        <f>REEL!E58</f>
        <v>154</v>
      </c>
      <c r="G202" s="18">
        <f>REEL!F58</f>
        <v>22929.82</v>
      </c>
      <c r="H202" s="36">
        <f>REEL!G58</f>
        <v>9054.5300000000007</v>
      </c>
      <c r="I202" s="36">
        <f>REEL!H58</f>
        <v>4903.2700000000004</v>
      </c>
      <c r="J202" s="36">
        <f>REEL!I58</f>
        <v>1867.22</v>
      </c>
    </row>
    <row r="203" spans="1:10">
      <c r="A203" t="str">
        <f>REEL!A59</f>
        <v>Mai</v>
      </c>
      <c r="B203" s="51" cm="1">
        <f t="array" ref="B203">_xlfn.SWITCH(TRIM(A203),"Janvier",1,"Février",2,"Mars",3,"Avril",4,"Mai",5,"Juin",6,"Juillet",7,"Août",8,"Septembre",9,"Octobre",10,"Novembre",11,"Décembre",12,NA())</f>
        <v>5</v>
      </c>
      <c r="C203" t="str">
        <f>REEL!C59</f>
        <v>Nord</v>
      </c>
      <c r="D203" t="str">
        <f>REEL!D59</f>
        <v>Services</v>
      </c>
      <c r="E203" t="s">
        <v>49</v>
      </c>
      <c r="F203" s="35">
        <f>REEL!E59</f>
        <v>92</v>
      </c>
      <c r="G203" s="18">
        <f>REEL!F59</f>
        <v>13716.49</v>
      </c>
      <c r="H203" s="36">
        <f>REEL!G59</f>
        <v>5297.41</v>
      </c>
      <c r="I203" s="36">
        <f>REEL!H59</f>
        <v>2945.98</v>
      </c>
      <c r="J203" s="36">
        <f>REEL!I59</f>
        <v>1125.3499999999999</v>
      </c>
    </row>
    <row r="204" spans="1:10">
      <c r="A204" t="str">
        <f>REEL!A60</f>
        <v>Mai</v>
      </c>
      <c r="B204" s="51" cm="1">
        <f t="array" ref="B204">_xlfn.SWITCH(TRIM(A204),"Janvier",1,"Février",2,"Mars",3,"Avril",4,"Mai",5,"Juin",6,"Juillet",7,"Août",8,"Septembre",9,"Octobre",10,"Novembre",11,"Décembre",12,NA())</f>
        <v>5</v>
      </c>
      <c r="C204" t="str">
        <f>REEL!C60</f>
        <v>Sud</v>
      </c>
      <c r="D204" t="str">
        <f>REEL!D60</f>
        <v>Services</v>
      </c>
      <c r="E204" t="s">
        <v>49</v>
      </c>
      <c r="F204" s="35">
        <f>REEL!E60</f>
        <v>87</v>
      </c>
      <c r="G204" s="18">
        <f>REEL!F60</f>
        <v>12845.81</v>
      </c>
      <c r="H204" s="36">
        <f>REEL!G60</f>
        <v>5001.34</v>
      </c>
      <c r="I204" s="36">
        <f>REEL!H60</f>
        <v>2724.32</v>
      </c>
      <c r="J204" s="36">
        <f>REEL!I60</f>
        <v>1016.68</v>
      </c>
    </row>
    <row r="205" spans="1:10">
      <c r="A205" t="str">
        <f>REEL!A61</f>
        <v>Mai</v>
      </c>
      <c r="B205" s="51" cm="1">
        <f t="array" ref="B205">_xlfn.SWITCH(TRIM(A205),"Janvier",1,"Février",2,"Mars",3,"Avril",4,"Mai",5,"Juin",6,"Juillet",7,"Août",8,"Septembre",9,"Octobre",10,"Novembre",11,"Décembre",12,NA())</f>
        <v>5</v>
      </c>
      <c r="C205" t="str">
        <f>REEL!C61</f>
        <v>Export</v>
      </c>
      <c r="D205" t="str">
        <f>REEL!D61</f>
        <v>Services</v>
      </c>
      <c r="E205" t="s">
        <v>49</v>
      </c>
      <c r="F205" s="35">
        <f>REEL!E61</f>
        <v>64</v>
      </c>
      <c r="G205" s="18">
        <f>REEL!F61</f>
        <v>9609.89</v>
      </c>
      <c r="H205" s="36">
        <f>REEL!G61</f>
        <v>3710.25</v>
      </c>
      <c r="I205" s="36">
        <f>REEL!H61</f>
        <v>1984.48</v>
      </c>
      <c r="J205" s="36">
        <f>REEL!I61</f>
        <v>788.89</v>
      </c>
    </row>
    <row r="206" spans="1:10">
      <c r="A206" t="str">
        <f>REEL!A62</f>
        <v>Juin</v>
      </c>
      <c r="B206" s="51" cm="1">
        <f t="array" ref="B206">_xlfn.SWITCH(TRIM(A206),"Janvier",1,"Février",2,"Mars",3,"Avril",4,"Mai",5,"Juin",6,"Juillet",7,"Août",8,"Septembre",9,"Octobre",10,"Novembre",11,"Décembre",12,NA())</f>
        <v>6</v>
      </c>
      <c r="C206" t="str">
        <f>REEL!C62</f>
        <v>IDF</v>
      </c>
      <c r="D206" t="str">
        <f>REEL!D62</f>
        <v>composants</v>
      </c>
      <c r="E206" t="s">
        <v>49</v>
      </c>
      <c r="F206" s="35">
        <f>REEL!E62</f>
        <v>2141</v>
      </c>
      <c r="G206" s="18">
        <f>REEL!F62</f>
        <v>95446.18</v>
      </c>
      <c r="H206" s="36">
        <f>REEL!G62</f>
        <v>42559.44</v>
      </c>
      <c r="I206" s="36">
        <f>REEL!H62</f>
        <v>20744.830000000002</v>
      </c>
      <c r="J206" s="36">
        <f>REEL!I62</f>
        <v>7694.14</v>
      </c>
    </row>
    <row r="207" spans="1:10">
      <c r="A207" t="str">
        <f>REEL!A63</f>
        <v>Juin</v>
      </c>
      <c r="B207" s="51" cm="1">
        <f t="array" ref="B207">_xlfn.SWITCH(TRIM(A207),"Janvier",1,"Février",2,"Mars",3,"Avril",4,"Mai",5,"Juin",6,"Juillet",7,"Août",8,"Septembre",9,"Octobre",10,"Novembre",11,"Décembre",12,NA())</f>
        <v>6</v>
      </c>
      <c r="C207" t="str">
        <f>REEL!C63</f>
        <v>Nord</v>
      </c>
      <c r="D207" t="str">
        <f>REEL!D63</f>
        <v>composants</v>
      </c>
      <c r="E207" t="s">
        <v>49</v>
      </c>
      <c r="F207" s="35">
        <f>REEL!E63</f>
        <v>1336</v>
      </c>
      <c r="G207" s="18">
        <f>REEL!F63</f>
        <v>60592.07</v>
      </c>
      <c r="H207" s="36">
        <f>REEL!G63</f>
        <v>26320.39</v>
      </c>
      <c r="I207" s="36">
        <f>REEL!H63</f>
        <v>13161.14</v>
      </c>
      <c r="J207" s="36">
        <f>REEL!I63</f>
        <v>4796.6000000000004</v>
      </c>
    </row>
    <row r="208" spans="1:10">
      <c r="A208" t="str">
        <f>REEL!A64</f>
        <v>Juin</v>
      </c>
      <c r="B208" s="51" cm="1">
        <f t="array" ref="B208">_xlfn.SWITCH(TRIM(A208),"Janvier",1,"Février",2,"Mars",3,"Avril",4,"Mai",5,"Juin",6,"Juillet",7,"Août",8,"Septembre",9,"Octobre",10,"Novembre",11,"Décembre",12,NA())</f>
        <v>6</v>
      </c>
      <c r="C208" t="str">
        <f>REEL!C64</f>
        <v>Sud</v>
      </c>
      <c r="D208" t="str">
        <f>REEL!D64</f>
        <v>composants</v>
      </c>
      <c r="E208" t="s">
        <v>49</v>
      </c>
      <c r="F208" s="35">
        <f>REEL!E64</f>
        <v>1192</v>
      </c>
      <c r="G208" s="18">
        <f>REEL!F64</f>
        <v>52763.22</v>
      </c>
      <c r="H208" s="36">
        <f>REEL!G64</f>
        <v>25121.1</v>
      </c>
      <c r="I208" s="36">
        <f>REEL!H64</f>
        <v>11813.29</v>
      </c>
      <c r="J208" s="36">
        <f>REEL!I64</f>
        <v>4109.66</v>
      </c>
    </row>
    <row r="209" spans="1:10">
      <c r="A209" t="str">
        <f>REEL!A65</f>
        <v>Juin</v>
      </c>
      <c r="B209" s="51" cm="1">
        <f t="array" ref="B209">_xlfn.SWITCH(TRIM(A209),"Janvier",1,"Février",2,"Mars",3,"Avril",4,"Mai",5,"Juin",6,"Juillet",7,"Août",8,"Septembre",9,"Octobre",10,"Novembre",11,"Décembre",12,NA())</f>
        <v>6</v>
      </c>
      <c r="C209" t="str">
        <f>REEL!C65</f>
        <v>Export</v>
      </c>
      <c r="D209" t="str">
        <f>REEL!D65</f>
        <v>composants</v>
      </c>
      <c r="E209" t="s">
        <v>49</v>
      </c>
      <c r="F209" s="35">
        <f>REEL!E65</f>
        <v>866</v>
      </c>
      <c r="G209" s="18">
        <f>REEL!F65</f>
        <v>38476.800000000003</v>
      </c>
      <c r="H209" s="36">
        <f>REEL!G65</f>
        <v>17675.59</v>
      </c>
      <c r="I209" s="36">
        <f>REEL!H65</f>
        <v>8357.94</v>
      </c>
      <c r="J209" s="36">
        <f>REEL!I65</f>
        <v>3042.99</v>
      </c>
    </row>
    <row r="210" spans="1:10">
      <c r="A210" t="str">
        <f>REEL!A66</f>
        <v>Juin</v>
      </c>
      <c r="B210" s="51" cm="1">
        <f t="array" ref="B210">_xlfn.SWITCH(TRIM(A210),"Janvier",1,"Février",2,"Mars",3,"Avril",4,"Mai",5,"Juin",6,"Juillet",7,"Août",8,"Septembre",9,"Octobre",10,"Novembre",11,"Décembre",12,NA())</f>
        <v>6</v>
      </c>
      <c r="C210" t="str">
        <f>REEL!C66</f>
        <v>IDF</v>
      </c>
      <c r="D210" t="str">
        <f>REEL!D66</f>
        <v>Equipements</v>
      </c>
      <c r="E210" t="s">
        <v>49</v>
      </c>
      <c r="F210" s="35">
        <f>REEL!E66</f>
        <v>251</v>
      </c>
      <c r="G210" s="18">
        <f>REEL!F66</f>
        <v>78868.87</v>
      </c>
      <c r="H210" s="36">
        <f>REEL!G66</f>
        <v>34243.120000000003</v>
      </c>
      <c r="I210" s="36">
        <f>REEL!H66</f>
        <v>18361.12</v>
      </c>
      <c r="J210" s="36">
        <f>REEL!I66</f>
        <v>6166.96</v>
      </c>
    </row>
    <row r="211" spans="1:10">
      <c r="A211" t="str">
        <f>REEL!A67</f>
        <v>Juin</v>
      </c>
      <c r="B211" s="51" cm="1">
        <f t="array" ref="B211">_xlfn.SWITCH(TRIM(A211),"Janvier",1,"Février",2,"Mars",3,"Avril",4,"Mai",5,"Juin",6,"Juillet",7,"Août",8,"Septembre",9,"Octobre",10,"Novembre",11,"Décembre",12,NA())</f>
        <v>6</v>
      </c>
      <c r="C211" t="str">
        <f>REEL!C67</f>
        <v>Nord</v>
      </c>
      <c r="D211" t="str">
        <f>REEL!D67</f>
        <v>Equipements</v>
      </c>
      <c r="E211" t="s">
        <v>49</v>
      </c>
      <c r="F211" s="35">
        <f>REEL!E67</f>
        <v>152</v>
      </c>
      <c r="G211" s="18">
        <f>REEL!F67</f>
        <v>49352.26</v>
      </c>
      <c r="H211" s="36">
        <f>REEL!G67</f>
        <v>20493.259999999998</v>
      </c>
      <c r="I211" s="36">
        <f>REEL!H67</f>
        <v>11024.61</v>
      </c>
      <c r="J211" s="36">
        <f>REEL!I67</f>
        <v>3922.64</v>
      </c>
    </row>
    <row r="212" spans="1:10">
      <c r="A212" t="str">
        <f>REEL!A68</f>
        <v>Juin</v>
      </c>
      <c r="B212" s="51" cm="1">
        <f t="array" ref="B212">_xlfn.SWITCH(TRIM(A212),"Janvier",1,"Février",2,"Mars",3,"Avril",4,"Mai",5,"Juin",6,"Juillet",7,"Août",8,"Septembre",9,"Octobre",10,"Novembre",11,"Décembre",12,NA())</f>
        <v>6</v>
      </c>
      <c r="C212" t="str">
        <f>REEL!C68</f>
        <v>Sud</v>
      </c>
      <c r="D212" t="str">
        <f>REEL!D68</f>
        <v>Equipements</v>
      </c>
      <c r="E212" t="s">
        <v>49</v>
      </c>
      <c r="F212" s="35">
        <f>REEL!E68</f>
        <v>146</v>
      </c>
      <c r="G212" s="18">
        <f>REEL!F68</f>
        <v>47498.6</v>
      </c>
      <c r="H212" s="36">
        <f>REEL!G68</f>
        <v>19414.669999999998</v>
      </c>
      <c r="I212" s="36">
        <f>REEL!H68</f>
        <v>10535.27</v>
      </c>
      <c r="J212" s="36">
        <f>REEL!I68</f>
        <v>3878.74</v>
      </c>
    </row>
    <row r="213" spans="1:10">
      <c r="A213" t="str">
        <f>REEL!A69</f>
        <v>Juin</v>
      </c>
      <c r="B213" s="51" cm="1">
        <f t="array" ref="B213">_xlfn.SWITCH(TRIM(A213),"Janvier",1,"Février",2,"Mars",3,"Avril",4,"Mai",5,"Juin",6,"Juillet",7,"Août",8,"Septembre",9,"Octobre",10,"Novembre",11,"Décembre",12,NA())</f>
        <v>6</v>
      </c>
      <c r="C213" t="str">
        <f>REEL!C69</f>
        <v>Export</v>
      </c>
      <c r="D213" t="str">
        <f>REEL!D69</f>
        <v>Equipements</v>
      </c>
      <c r="E213" t="s">
        <v>49</v>
      </c>
      <c r="F213" s="35">
        <f>REEL!E69</f>
        <v>108</v>
      </c>
      <c r="G213" s="18">
        <f>REEL!F69</f>
        <v>34525.89</v>
      </c>
      <c r="H213" s="36">
        <f>REEL!G69</f>
        <v>14740.41</v>
      </c>
      <c r="I213" s="36">
        <f>REEL!H69</f>
        <v>7878.62</v>
      </c>
      <c r="J213" s="36">
        <f>REEL!I69</f>
        <v>2777.44</v>
      </c>
    </row>
    <row r="214" spans="1:10">
      <c r="A214" t="str">
        <f>REEL!A70</f>
        <v>Juin</v>
      </c>
      <c r="B214" s="51" cm="1">
        <f t="array" ref="B214">_xlfn.SWITCH(TRIM(A214),"Janvier",1,"Février",2,"Mars",3,"Avril",4,"Mai",5,"Juin",6,"Juillet",7,"Août",8,"Septembre",9,"Octobre",10,"Novembre",11,"Décembre",12,NA())</f>
        <v>6</v>
      </c>
      <c r="C214" t="str">
        <f>REEL!C70</f>
        <v>IDF</v>
      </c>
      <c r="D214" t="str">
        <f>REEL!D70</f>
        <v>Services</v>
      </c>
      <c r="E214" t="s">
        <v>49</v>
      </c>
      <c r="F214" s="35">
        <f>REEL!E70</f>
        <v>150</v>
      </c>
      <c r="G214" s="18">
        <f>REEL!F70</f>
        <v>22653.26</v>
      </c>
      <c r="H214" s="36">
        <f>REEL!G70</f>
        <v>8773.09</v>
      </c>
      <c r="I214" s="36">
        <f>REEL!H70</f>
        <v>4825.79</v>
      </c>
      <c r="J214" s="36">
        <f>REEL!I70</f>
        <v>1774.15</v>
      </c>
    </row>
    <row r="215" spans="1:10">
      <c r="A215" t="str">
        <f>REEL!A71</f>
        <v>Juin</v>
      </c>
      <c r="B215" s="51" cm="1">
        <f t="array" ref="B215">_xlfn.SWITCH(TRIM(A215),"Janvier",1,"Février",2,"Mars",3,"Avril",4,"Mai",5,"Juin",6,"Juillet",7,"Août",8,"Septembre",9,"Octobre",10,"Novembre",11,"Décembre",12,NA())</f>
        <v>6</v>
      </c>
      <c r="C215" t="str">
        <f>REEL!C71</f>
        <v>Nord</v>
      </c>
      <c r="D215" t="str">
        <f>REEL!D71</f>
        <v>Services</v>
      </c>
      <c r="E215" t="s">
        <v>49</v>
      </c>
      <c r="F215" s="35">
        <f>REEL!E71</f>
        <v>93</v>
      </c>
      <c r="G215" s="18">
        <f>REEL!F71</f>
        <v>13797.28</v>
      </c>
      <c r="H215" s="36">
        <f>REEL!G71</f>
        <v>5494.35</v>
      </c>
      <c r="I215" s="36">
        <f>REEL!H71</f>
        <v>2926.67</v>
      </c>
      <c r="J215" s="36">
        <f>REEL!I71</f>
        <v>1123.02</v>
      </c>
    </row>
    <row r="216" spans="1:10">
      <c r="A216" t="str">
        <f>REEL!A72</f>
        <v>Juin</v>
      </c>
      <c r="B216" s="51" cm="1">
        <f t="array" ref="B216">_xlfn.SWITCH(TRIM(A216),"Janvier",1,"Février",2,"Mars",3,"Avril",4,"Mai",5,"Juin",6,"Juillet",7,"Août",8,"Septembre",9,"Octobre",10,"Novembre",11,"Décembre",12,NA())</f>
        <v>6</v>
      </c>
      <c r="C216" t="str">
        <f>REEL!C72</f>
        <v>Sud</v>
      </c>
      <c r="D216" t="str">
        <f>REEL!D72</f>
        <v>Services</v>
      </c>
      <c r="E216" t="s">
        <v>49</v>
      </c>
      <c r="F216" s="35">
        <f>REEL!E72</f>
        <v>85</v>
      </c>
      <c r="G216" s="18">
        <f>REEL!F72</f>
        <v>12516.3</v>
      </c>
      <c r="H216" s="36">
        <f>REEL!G72</f>
        <v>5042.74</v>
      </c>
      <c r="I216" s="36">
        <f>REEL!H72</f>
        <v>2726.15</v>
      </c>
      <c r="J216" s="36">
        <f>REEL!I72</f>
        <v>979.29</v>
      </c>
    </row>
    <row r="217" spans="1:10">
      <c r="A217" t="str">
        <f>REEL!A73</f>
        <v>Juin</v>
      </c>
      <c r="B217" s="51" cm="1">
        <f t="array" ref="B217">_xlfn.SWITCH(TRIM(A217),"Janvier",1,"Février",2,"Mars",3,"Avril",4,"Mai",5,"Juin",6,"Juillet",7,"Août",8,"Septembre",9,"Octobre",10,"Novembre",11,"Décembre",12,NA())</f>
        <v>6</v>
      </c>
      <c r="C217" t="str">
        <f>REEL!C73</f>
        <v>Export</v>
      </c>
      <c r="D217" t="str">
        <f>REEL!D73</f>
        <v>Services</v>
      </c>
      <c r="E217" t="s">
        <v>49</v>
      </c>
      <c r="F217" s="35">
        <f>REEL!E73</f>
        <v>62</v>
      </c>
      <c r="G217" s="18">
        <f>REEL!F73</f>
        <v>9202.6299999999992</v>
      </c>
      <c r="H217" s="36">
        <f>REEL!G73</f>
        <v>3695.34</v>
      </c>
      <c r="I217" s="36">
        <f>REEL!H73</f>
        <v>1997.41</v>
      </c>
      <c r="J217" s="36">
        <f>REEL!I73</f>
        <v>747.99</v>
      </c>
    </row>
    <row r="218" spans="1:10">
      <c r="A218" t="str">
        <f>REEL!A74</f>
        <v>Juillet</v>
      </c>
      <c r="B218" s="51" cm="1">
        <f t="array" ref="B218">_xlfn.SWITCH(TRIM(A218),"Janvier",1,"Février",2,"Mars",3,"Avril",4,"Mai",5,"Juin",6,"Juillet",7,"Août",8,"Septembre",9,"Octobre",10,"Novembre",11,"Décembre",12,NA())</f>
        <v>7</v>
      </c>
      <c r="C218" t="str">
        <f>REEL!C74</f>
        <v>IDF</v>
      </c>
      <c r="D218" t="str">
        <f>REEL!D74</f>
        <v>composants</v>
      </c>
      <c r="E218" t="s">
        <v>49</v>
      </c>
      <c r="F218" s="35">
        <f>REEL!E74</f>
        <v>1919</v>
      </c>
      <c r="G218" s="18">
        <f>REEL!F74</f>
        <v>85800.05</v>
      </c>
      <c r="H218" s="36">
        <f>REEL!G74</f>
        <v>35792.129999999997</v>
      </c>
      <c r="I218" s="36">
        <f>REEL!H74</f>
        <v>19090.84</v>
      </c>
      <c r="J218" s="36">
        <f>REEL!I74</f>
        <v>6918.88</v>
      </c>
    </row>
    <row r="219" spans="1:10">
      <c r="A219" t="str">
        <f>REEL!A75</f>
        <v>Juillet</v>
      </c>
      <c r="B219" s="51" cm="1">
        <f t="array" ref="B219">_xlfn.SWITCH(TRIM(A219),"Janvier",1,"Février",2,"Mars",3,"Avril",4,"Mai",5,"Juin",6,"Juillet",7,"Août",8,"Septembre",9,"Octobre",10,"Novembre",11,"Décembre",12,NA())</f>
        <v>7</v>
      </c>
      <c r="C219" t="str">
        <f>REEL!C75</f>
        <v>Nord</v>
      </c>
      <c r="D219" t="str">
        <f>REEL!D75</f>
        <v>composants</v>
      </c>
      <c r="E219" t="s">
        <v>49</v>
      </c>
      <c r="F219" s="35">
        <f>REEL!E75</f>
        <v>1202</v>
      </c>
      <c r="G219" s="18">
        <f>REEL!F75</f>
        <v>54201.73</v>
      </c>
      <c r="H219" s="36">
        <f>REEL!G75</f>
        <v>21882.880000000001</v>
      </c>
      <c r="I219" s="36">
        <f>REEL!H75</f>
        <v>12029.32</v>
      </c>
      <c r="J219" s="36">
        <f>REEL!I75</f>
        <v>4309.76</v>
      </c>
    </row>
    <row r="220" spans="1:10">
      <c r="A220" t="str">
        <f>REEL!A76</f>
        <v>Juillet</v>
      </c>
      <c r="B220" s="51" cm="1">
        <f t="array" ref="B220">_xlfn.SWITCH(TRIM(A220),"Janvier",1,"Février",2,"Mars",3,"Avril",4,"Mai",5,"Juin",6,"Juillet",7,"Août",8,"Septembre",9,"Octobre",10,"Novembre",11,"Décembre",12,NA())</f>
        <v>7</v>
      </c>
      <c r="C220" t="str">
        <f>REEL!C76</f>
        <v>Sud</v>
      </c>
      <c r="D220" t="str">
        <f>REEL!D76</f>
        <v>composants</v>
      </c>
      <c r="E220" t="s">
        <v>49</v>
      </c>
      <c r="F220" s="35">
        <f>REEL!E76</f>
        <v>1095</v>
      </c>
      <c r="G220" s="18">
        <f>REEL!F76</f>
        <v>48555.18</v>
      </c>
      <c r="H220" s="36">
        <f>REEL!G76</f>
        <v>20477.46</v>
      </c>
      <c r="I220" s="36">
        <f>REEL!H76</f>
        <v>10484.450000000001</v>
      </c>
      <c r="J220" s="36">
        <f>REEL!I76</f>
        <v>3885.01</v>
      </c>
    </row>
    <row r="221" spans="1:10">
      <c r="A221" t="str">
        <f>REEL!A77</f>
        <v>Juillet</v>
      </c>
      <c r="B221" s="51" cm="1">
        <f t="array" ref="B221">_xlfn.SWITCH(TRIM(A221),"Janvier",1,"Février",2,"Mars",3,"Avril",4,"Mai",5,"Juin",6,"Juillet",7,"Août",8,"Septembre",9,"Octobre",10,"Novembre",11,"Décembre",12,NA())</f>
        <v>7</v>
      </c>
      <c r="C221" t="str">
        <f>REEL!C77</f>
        <v>Export</v>
      </c>
      <c r="D221" t="str">
        <f>REEL!D77</f>
        <v>composants</v>
      </c>
      <c r="E221" t="s">
        <v>49</v>
      </c>
      <c r="F221" s="35">
        <f>REEL!E77</f>
        <v>672</v>
      </c>
      <c r="G221" s="18">
        <f>REEL!F77</f>
        <v>29757.23</v>
      </c>
      <c r="H221" s="36">
        <f>REEL!G77</f>
        <v>12435.51</v>
      </c>
      <c r="I221" s="36">
        <f>REEL!H77</f>
        <v>6444.7</v>
      </c>
      <c r="J221" s="36">
        <f>REEL!I77</f>
        <v>2368.5</v>
      </c>
    </row>
    <row r="222" spans="1:10">
      <c r="A222" t="str">
        <f>REEL!A78</f>
        <v>Juillet</v>
      </c>
      <c r="B222" s="51" cm="1">
        <f t="array" ref="B222">_xlfn.SWITCH(TRIM(A222),"Janvier",1,"Février",2,"Mars",3,"Avril",4,"Mai",5,"Juin",6,"Juillet",7,"Août",8,"Septembre",9,"Octobre",10,"Novembre",11,"Décembre",12,NA())</f>
        <v>7</v>
      </c>
      <c r="C222" t="str">
        <f>REEL!C78</f>
        <v>IDF</v>
      </c>
      <c r="D222" t="str">
        <f>REEL!D78</f>
        <v>Equipements</v>
      </c>
      <c r="E222" t="s">
        <v>49</v>
      </c>
      <c r="F222" s="35">
        <f>REEL!E78</f>
        <v>229</v>
      </c>
      <c r="G222" s="18">
        <f>REEL!F78</f>
        <v>72349</v>
      </c>
      <c r="H222" s="36">
        <f>REEL!G78</f>
        <v>32080.93</v>
      </c>
      <c r="I222" s="36">
        <f>REEL!H78</f>
        <v>16526.22</v>
      </c>
      <c r="J222" s="36">
        <f>REEL!I78</f>
        <v>5717.08</v>
      </c>
    </row>
    <row r="223" spans="1:10">
      <c r="A223" t="str">
        <f>REEL!A79</f>
        <v>Juillet</v>
      </c>
      <c r="B223" s="51" cm="1">
        <f t="array" ref="B223">_xlfn.SWITCH(TRIM(A223),"Janvier",1,"Février",2,"Mars",3,"Avril",4,"Mai",5,"Juin",6,"Juillet",7,"Août",8,"Septembre",9,"Octobre",10,"Novembre",11,"Décembre",12,NA())</f>
        <v>7</v>
      </c>
      <c r="C223" t="str">
        <f>REEL!C79</f>
        <v>Nord</v>
      </c>
      <c r="D223" t="str">
        <f>REEL!D79</f>
        <v>Equipements</v>
      </c>
      <c r="E223" t="s">
        <v>49</v>
      </c>
      <c r="F223" s="35">
        <f>REEL!E79</f>
        <v>140</v>
      </c>
      <c r="G223" s="18">
        <f>REEL!F79</f>
        <v>45237.9</v>
      </c>
      <c r="H223" s="36">
        <f>REEL!G79</f>
        <v>18608.13</v>
      </c>
      <c r="I223" s="36">
        <f>REEL!H79</f>
        <v>10236.85</v>
      </c>
      <c r="J223" s="36">
        <f>REEL!I79</f>
        <v>3562.6</v>
      </c>
    </row>
    <row r="224" spans="1:10">
      <c r="A224" t="str">
        <f>REEL!A80</f>
        <v>Juillet</v>
      </c>
      <c r="B224" s="51" cm="1">
        <f t="array" ref="B224">_xlfn.SWITCH(TRIM(A224),"Janvier",1,"Février",2,"Mars",3,"Avril",4,"Mai",5,"Juin",6,"Juillet",7,"Août",8,"Septembre",9,"Octobre",10,"Novembre",11,"Décembre",12,NA())</f>
        <v>7</v>
      </c>
      <c r="C224" t="str">
        <f>REEL!C80</f>
        <v>Sud</v>
      </c>
      <c r="D224" t="str">
        <f>REEL!D80</f>
        <v>Equipements</v>
      </c>
      <c r="E224" t="s">
        <v>49</v>
      </c>
      <c r="F224" s="35">
        <f>REEL!E80</f>
        <v>134</v>
      </c>
      <c r="G224" s="18">
        <f>REEL!F80</f>
        <v>42163.99</v>
      </c>
      <c r="H224" s="36">
        <f>REEL!G80</f>
        <v>17828.29</v>
      </c>
      <c r="I224" s="36">
        <f>REEL!H80</f>
        <v>10084.24</v>
      </c>
      <c r="J224" s="36">
        <f>REEL!I80</f>
        <v>3416.86</v>
      </c>
    </row>
    <row r="225" spans="1:10">
      <c r="A225" t="str">
        <f>REEL!A81</f>
        <v>Juillet</v>
      </c>
      <c r="B225" s="51" cm="1">
        <f t="array" ref="B225">_xlfn.SWITCH(TRIM(A225),"Janvier",1,"Février",2,"Mars",3,"Avril",4,"Mai",5,"Juin",6,"Juillet",7,"Août",8,"Septembre",9,"Octobre",10,"Novembre",11,"Décembre",12,NA())</f>
        <v>7</v>
      </c>
      <c r="C225" t="str">
        <f>REEL!C81</f>
        <v>Export</v>
      </c>
      <c r="D225" t="str">
        <f>REEL!D81</f>
        <v>Equipements</v>
      </c>
      <c r="E225" t="s">
        <v>49</v>
      </c>
      <c r="F225" s="35">
        <f>REEL!E81</f>
        <v>76</v>
      </c>
      <c r="G225" s="18">
        <f>REEL!F81</f>
        <v>24079.71</v>
      </c>
      <c r="H225" s="36">
        <f>REEL!G81</f>
        <v>10301.799999999999</v>
      </c>
      <c r="I225" s="36">
        <f>REEL!H81</f>
        <v>5485.25</v>
      </c>
      <c r="J225" s="36">
        <f>REEL!I81</f>
        <v>1963.69</v>
      </c>
    </row>
    <row r="226" spans="1:10">
      <c r="A226" t="str">
        <f>REEL!A82</f>
        <v>Juillet</v>
      </c>
      <c r="B226" s="51" cm="1">
        <f t="array" ref="B226">_xlfn.SWITCH(TRIM(A226),"Janvier",1,"Février",2,"Mars",3,"Avril",4,"Mai",5,"Juin",6,"Juillet",7,"Août",8,"Septembre",9,"Octobre",10,"Novembre",11,"Décembre",12,NA())</f>
        <v>7</v>
      </c>
      <c r="C226" t="str">
        <f>REEL!C82</f>
        <v>IDF</v>
      </c>
      <c r="D226" t="str">
        <f>REEL!D82</f>
        <v>Services</v>
      </c>
      <c r="E226" t="s">
        <v>49</v>
      </c>
      <c r="F226" s="35">
        <f>REEL!E82</f>
        <v>136</v>
      </c>
      <c r="G226" s="18">
        <f>REEL!F82</f>
        <v>20536.79</v>
      </c>
      <c r="H226" s="36">
        <f>REEL!G82</f>
        <v>7906.55</v>
      </c>
      <c r="I226" s="36">
        <f>REEL!H82</f>
        <v>4364.03</v>
      </c>
      <c r="J226" s="36">
        <f>REEL!I82</f>
        <v>1662.27</v>
      </c>
    </row>
    <row r="227" spans="1:10">
      <c r="A227" t="str">
        <f>REEL!A83</f>
        <v>Juillet</v>
      </c>
      <c r="B227" s="51" cm="1">
        <f t="array" ref="B227">_xlfn.SWITCH(TRIM(A227),"Janvier",1,"Février",2,"Mars",3,"Avril",4,"Mai",5,"Juin",6,"Juillet",7,"Août",8,"Septembre",9,"Octobre",10,"Novembre",11,"Décembre",12,NA())</f>
        <v>7</v>
      </c>
      <c r="C227" t="str">
        <f>REEL!C83</f>
        <v>Nord</v>
      </c>
      <c r="D227" t="str">
        <f>REEL!D83</f>
        <v>Services</v>
      </c>
      <c r="E227" t="s">
        <v>49</v>
      </c>
      <c r="F227" s="35">
        <f>REEL!E83</f>
        <v>89</v>
      </c>
      <c r="G227" s="18">
        <f>REEL!F83</f>
        <v>13574.94</v>
      </c>
      <c r="H227" s="36">
        <f>REEL!G83</f>
        <v>5205.22</v>
      </c>
      <c r="I227" s="36">
        <f>REEL!H83</f>
        <v>2742.64</v>
      </c>
      <c r="J227" s="36">
        <f>REEL!I83</f>
        <v>1080.05</v>
      </c>
    </row>
    <row r="228" spans="1:10">
      <c r="A228" t="str">
        <f>REEL!A84</f>
        <v>Juillet</v>
      </c>
      <c r="B228" s="51" cm="1">
        <f t="array" ref="B228">_xlfn.SWITCH(TRIM(A228),"Janvier",1,"Février",2,"Mars",3,"Avril",4,"Mai",5,"Juin",6,"Juillet",7,"Août",8,"Septembre",9,"Octobre",10,"Novembre",11,"Décembre",12,NA())</f>
        <v>7</v>
      </c>
      <c r="C228" t="str">
        <f>REEL!C84</f>
        <v>Sud</v>
      </c>
      <c r="D228" t="str">
        <f>REEL!D84</f>
        <v>Services</v>
      </c>
      <c r="E228" t="s">
        <v>49</v>
      </c>
      <c r="F228" s="35">
        <f>REEL!E84</f>
        <v>78</v>
      </c>
      <c r="G228" s="18">
        <f>REEL!F84</f>
        <v>11698.25</v>
      </c>
      <c r="H228" s="36">
        <f>REEL!G84</f>
        <v>4640.7700000000004</v>
      </c>
      <c r="I228" s="36">
        <f>REEL!H84</f>
        <v>2489.5100000000002</v>
      </c>
      <c r="J228" s="36">
        <f>REEL!I84</f>
        <v>914.7</v>
      </c>
    </row>
    <row r="229" spans="1:10">
      <c r="A229" t="str">
        <f>REEL!A85</f>
        <v>Juillet</v>
      </c>
      <c r="B229" s="51" cm="1">
        <f t="array" ref="B229">_xlfn.SWITCH(TRIM(A229),"Janvier",1,"Février",2,"Mars",3,"Avril",4,"Mai",5,"Juin",6,"Juillet",7,"Août",8,"Septembre",9,"Octobre",10,"Novembre",11,"Décembre",12,NA())</f>
        <v>7</v>
      </c>
      <c r="C229" t="str">
        <f>REEL!C85</f>
        <v>Export</v>
      </c>
      <c r="D229" t="str">
        <f>REEL!D85</f>
        <v>Services</v>
      </c>
      <c r="E229" t="s">
        <v>49</v>
      </c>
      <c r="F229" s="35">
        <f>REEL!E85</f>
        <v>44</v>
      </c>
      <c r="G229" s="18">
        <f>REEL!F85</f>
        <v>6641.54</v>
      </c>
      <c r="H229" s="36">
        <f>REEL!G85</f>
        <v>2624.61</v>
      </c>
      <c r="I229" s="36">
        <f>REEL!H85</f>
        <v>1379.44</v>
      </c>
      <c r="J229" s="36">
        <f>REEL!I85</f>
        <v>519.27</v>
      </c>
    </row>
    <row r="230" spans="1:10">
      <c r="A230" t="str">
        <f>REEL!A86</f>
        <v xml:space="preserve">Août </v>
      </c>
      <c r="B230" s="51" cm="1">
        <f t="array" ref="B230">_xlfn.SWITCH(TRIM(A230),"Janvier",1,"Février",2,"Mars",3,"Avril",4,"Mai",5,"Juin",6,"Juillet",7,"Août",8,"Septembre",9,"Octobre",10,"Novembre",11,"Décembre",12,NA())</f>
        <v>8</v>
      </c>
      <c r="C230" t="str">
        <f>REEL!C86</f>
        <v>IDF</v>
      </c>
      <c r="D230" t="str">
        <f>REEL!D86</f>
        <v>composants</v>
      </c>
      <c r="E230" t="s">
        <v>49</v>
      </c>
      <c r="F230" s="35">
        <f>REEL!E86</f>
        <v>1126</v>
      </c>
      <c r="G230" s="18">
        <f>REEL!F86</f>
        <v>51007.34</v>
      </c>
      <c r="H230" s="36">
        <f>REEL!G86</f>
        <v>20451.57</v>
      </c>
      <c r="I230" s="36">
        <f>REEL!H86</f>
        <v>10869.52</v>
      </c>
      <c r="J230" s="36">
        <f>REEL!I86</f>
        <v>3972.03</v>
      </c>
    </row>
    <row r="231" spans="1:10">
      <c r="A231" t="str">
        <f>REEL!A87</f>
        <v xml:space="preserve">Août </v>
      </c>
      <c r="B231" s="51" cm="1">
        <f t="array" ref="B231">_xlfn.SWITCH(TRIM(A231),"Janvier",1,"Février",2,"Mars",3,"Avril",4,"Mai",5,"Juin",6,"Juillet",7,"Août",8,"Septembre",9,"Octobre",10,"Novembre",11,"Décembre",12,NA())</f>
        <v>8</v>
      </c>
      <c r="C231" t="str">
        <f>REEL!C87</f>
        <v>Nord</v>
      </c>
      <c r="D231" t="str">
        <f>REEL!D87</f>
        <v>composants</v>
      </c>
      <c r="E231" t="s">
        <v>49</v>
      </c>
      <c r="F231" s="35">
        <f>REEL!E87</f>
        <v>680</v>
      </c>
      <c r="G231" s="18">
        <f>REEL!F87</f>
        <v>30481.39</v>
      </c>
      <c r="H231" s="36">
        <f>REEL!G87</f>
        <v>12307.25</v>
      </c>
      <c r="I231" s="36">
        <f>REEL!H87</f>
        <v>6718.32</v>
      </c>
      <c r="J231" s="36">
        <f>REEL!I87</f>
        <v>2460.29</v>
      </c>
    </row>
    <row r="232" spans="1:10">
      <c r="A232" t="str">
        <f>REEL!A88</f>
        <v xml:space="preserve">Août </v>
      </c>
      <c r="B232" s="51" cm="1">
        <f t="array" ref="B232">_xlfn.SWITCH(TRIM(A232),"Janvier",1,"Février",2,"Mars",3,"Avril",4,"Mai",5,"Juin",6,"Juillet",7,"Août",8,"Septembre",9,"Octobre",10,"Novembre",11,"Décembre",12,NA())</f>
        <v>8</v>
      </c>
      <c r="C232" t="str">
        <f>REEL!C88</f>
        <v>Sud</v>
      </c>
      <c r="D232" t="str">
        <f>REEL!D88</f>
        <v>composants</v>
      </c>
      <c r="E232" t="s">
        <v>49</v>
      </c>
      <c r="F232" s="35">
        <f>REEL!E88</f>
        <v>652</v>
      </c>
      <c r="G232" s="18">
        <f>REEL!F88</f>
        <v>29795.24</v>
      </c>
      <c r="H232" s="36">
        <f>REEL!G88</f>
        <v>11870.2</v>
      </c>
      <c r="I232" s="36">
        <f>REEL!H88</f>
        <v>6279.92</v>
      </c>
      <c r="J232" s="36">
        <f>REEL!I88</f>
        <v>2390.7600000000002</v>
      </c>
    </row>
    <row r="233" spans="1:10">
      <c r="A233" t="str">
        <f>REEL!A89</f>
        <v xml:space="preserve">Août </v>
      </c>
      <c r="B233" s="51" cm="1">
        <f t="array" ref="B233">_xlfn.SWITCH(TRIM(A233),"Janvier",1,"Février",2,"Mars",3,"Avril",4,"Mai",5,"Juin",6,"Juillet",7,"Août",8,"Septembre",9,"Octobre",10,"Novembre",11,"Décembre",12,NA())</f>
        <v>8</v>
      </c>
      <c r="C233" t="str">
        <f>REEL!C89</f>
        <v>Export</v>
      </c>
      <c r="D233" t="str">
        <f>REEL!D89</f>
        <v>composants</v>
      </c>
      <c r="E233" t="s">
        <v>49</v>
      </c>
      <c r="F233" s="35">
        <f>REEL!E89</f>
        <v>447</v>
      </c>
      <c r="G233" s="18">
        <f>REEL!F89</f>
        <v>19877.13</v>
      </c>
      <c r="H233" s="36">
        <f>REEL!G89</f>
        <v>8289.31</v>
      </c>
      <c r="I233" s="36">
        <f>REEL!H89</f>
        <v>4462.59</v>
      </c>
      <c r="J233" s="36">
        <f>REEL!I89</f>
        <v>1620.42</v>
      </c>
    </row>
    <row r="234" spans="1:10">
      <c r="A234" t="str">
        <f>REEL!A90</f>
        <v xml:space="preserve">Août </v>
      </c>
      <c r="B234" s="51" cm="1">
        <f t="array" ref="B234">_xlfn.SWITCH(TRIM(A234),"Janvier",1,"Février",2,"Mars",3,"Avril",4,"Mai",5,"Juin",6,"Juillet",7,"Août",8,"Septembre",9,"Octobre",10,"Novembre",11,"Décembre",12,NA())</f>
        <v>8</v>
      </c>
      <c r="C234" t="str">
        <f>REEL!C90</f>
        <v>IDF</v>
      </c>
      <c r="D234" t="str">
        <f>REEL!D90</f>
        <v>Equipements</v>
      </c>
      <c r="E234" t="s">
        <v>49</v>
      </c>
      <c r="F234" s="35">
        <f>REEL!E90</f>
        <v>135</v>
      </c>
      <c r="G234" s="18">
        <f>REEL!F90</f>
        <v>42456.639999999999</v>
      </c>
      <c r="H234" s="36">
        <f>REEL!G90</f>
        <v>17946.21</v>
      </c>
      <c r="I234" s="36">
        <f>REEL!H90</f>
        <v>9996.0400000000009</v>
      </c>
      <c r="J234" s="36">
        <f>REEL!I90</f>
        <v>3489.94</v>
      </c>
    </row>
    <row r="235" spans="1:10">
      <c r="A235" t="str">
        <f>REEL!A91</f>
        <v xml:space="preserve">Août </v>
      </c>
      <c r="B235" s="51" cm="1">
        <f t="array" ref="B235">_xlfn.SWITCH(TRIM(A235),"Janvier",1,"Février",2,"Mars",3,"Avril",4,"Mai",5,"Juin",6,"Juillet",7,"Août",8,"Septembre",9,"Octobre",10,"Novembre",11,"Décembre",12,NA())</f>
        <v>8</v>
      </c>
      <c r="C235" t="str">
        <f>REEL!C91</f>
        <v>Nord</v>
      </c>
      <c r="D235" t="str">
        <f>REEL!D91</f>
        <v>Equipements</v>
      </c>
      <c r="E235" t="s">
        <v>49</v>
      </c>
      <c r="F235" s="35">
        <f>REEL!E91</f>
        <v>81</v>
      </c>
      <c r="G235" s="18">
        <f>REEL!F91</f>
        <v>25504.42</v>
      </c>
      <c r="H235" s="36">
        <f>REEL!G91</f>
        <v>10865.08</v>
      </c>
      <c r="I235" s="36">
        <f>REEL!H91</f>
        <v>6062.21</v>
      </c>
      <c r="J235" s="36">
        <f>REEL!I91</f>
        <v>1979.89</v>
      </c>
    </row>
    <row r="236" spans="1:10">
      <c r="A236" t="str">
        <f>REEL!A92</f>
        <v xml:space="preserve">Août </v>
      </c>
      <c r="B236" s="51" cm="1">
        <f t="array" ref="B236">_xlfn.SWITCH(TRIM(A236),"Janvier",1,"Février",2,"Mars",3,"Avril",4,"Mai",5,"Juin",6,"Juillet",7,"Août",8,"Septembre",9,"Octobre",10,"Novembre",11,"Décembre",12,NA())</f>
        <v>8</v>
      </c>
      <c r="C236" t="str">
        <f>REEL!C92</f>
        <v>Sud</v>
      </c>
      <c r="D236" t="str">
        <f>REEL!D92</f>
        <v>Equipements</v>
      </c>
      <c r="E236" t="s">
        <v>49</v>
      </c>
      <c r="F236" s="35">
        <f>REEL!E92</f>
        <v>72</v>
      </c>
      <c r="G236" s="18">
        <f>REEL!F92</f>
        <v>23329.32</v>
      </c>
      <c r="H236" s="36">
        <f>REEL!G92</f>
        <v>9717.77</v>
      </c>
      <c r="I236" s="36">
        <f>REEL!H92</f>
        <v>5404.1</v>
      </c>
      <c r="J236" s="36">
        <f>REEL!I92</f>
        <v>1895.37</v>
      </c>
    </row>
    <row r="237" spans="1:10">
      <c r="A237" t="str">
        <f>REEL!A93</f>
        <v xml:space="preserve">Août </v>
      </c>
      <c r="B237" s="51" cm="1">
        <f t="array" ref="B237">_xlfn.SWITCH(TRIM(A237),"Janvier",1,"Février",2,"Mars",3,"Avril",4,"Mai",5,"Juin",6,"Juillet",7,"Août",8,"Septembre",9,"Octobre",10,"Novembre",11,"Décembre",12,NA())</f>
        <v>8</v>
      </c>
      <c r="C237" t="str">
        <f>REEL!C93</f>
        <v>Export</v>
      </c>
      <c r="D237" t="str">
        <f>REEL!D93</f>
        <v>Equipements</v>
      </c>
      <c r="E237" t="s">
        <v>49</v>
      </c>
      <c r="F237" s="35">
        <f>REEL!E93</f>
        <v>56</v>
      </c>
      <c r="G237" s="18">
        <f>REEL!F93</f>
        <v>17610.169999999998</v>
      </c>
      <c r="H237" s="36">
        <f>REEL!G93</f>
        <v>7677.24</v>
      </c>
      <c r="I237" s="36">
        <f>REEL!H93</f>
        <v>4075.58</v>
      </c>
      <c r="J237" s="36">
        <f>REEL!I93</f>
        <v>1368.25</v>
      </c>
    </row>
    <row r="238" spans="1:10">
      <c r="A238" t="str">
        <f>REEL!A94</f>
        <v xml:space="preserve">Août </v>
      </c>
      <c r="B238" s="51" cm="1">
        <f t="array" ref="B238">_xlfn.SWITCH(TRIM(A238),"Janvier",1,"Février",2,"Mars",3,"Avril",4,"Mai",5,"Juin",6,"Juillet",7,"Août",8,"Septembre",9,"Octobre",10,"Novembre",11,"Décembre",12,NA())</f>
        <v>8</v>
      </c>
      <c r="C238" t="str">
        <f>REEL!C94</f>
        <v>IDF</v>
      </c>
      <c r="D238" t="str">
        <f>REEL!D94</f>
        <v>Services</v>
      </c>
      <c r="E238" t="s">
        <v>49</v>
      </c>
      <c r="F238" s="35">
        <f>REEL!E94</f>
        <v>80</v>
      </c>
      <c r="G238" s="18">
        <f>REEL!F94</f>
        <v>12229.42</v>
      </c>
      <c r="H238" s="36">
        <f>REEL!G94</f>
        <v>4578.59</v>
      </c>
      <c r="I238" s="36">
        <f>REEL!H94</f>
        <v>2485.65</v>
      </c>
      <c r="J238" s="36">
        <f>REEL!I94</f>
        <v>951.26</v>
      </c>
    </row>
    <row r="239" spans="1:10">
      <c r="A239" t="str">
        <f>REEL!A95</f>
        <v xml:space="preserve">Août </v>
      </c>
      <c r="B239" s="51" cm="1">
        <f t="array" ref="B239">_xlfn.SWITCH(TRIM(A239),"Janvier",1,"Février",2,"Mars",3,"Avril",4,"Mai",5,"Juin",6,"Juillet",7,"Août",8,"Septembre",9,"Octobre",10,"Novembre",11,"Décembre",12,NA())</f>
        <v>8</v>
      </c>
      <c r="C239" t="str">
        <f>REEL!C95</f>
        <v>Nord</v>
      </c>
      <c r="D239" t="str">
        <f>REEL!D95</f>
        <v>Services</v>
      </c>
      <c r="E239" t="s">
        <v>49</v>
      </c>
      <c r="F239" s="35">
        <f>REEL!E95</f>
        <v>52</v>
      </c>
      <c r="G239" s="18">
        <f>REEL!F95</f>
        <v>7943.45</v>
      </c>
      <c r="H239" s="36">
        <f>REEL!G95</f>
        <v>3105</v>
      </c>
      <c r="I239" s="36">
        <f>REEL!H95</f>
        <v>1646.27</v>
      </c>
      <c r="J239" s="36">
        <f>REEL!I95</f>
        <v>618.82000000000005</v>
      </c>
    </row>
    <row r="240" spans="1:10">
      <c r="A240" t="str">
        <f>REEL!A96</f>
        <v xml:space="preserve">Août </v>
      </c>
      <c r="B240" s="51" cm="1">
        <f t="array" ref="B240">_xlfn.SWITCH(TRIM(A240),"Janvier",1,"Février",2,"Mars",3,"Avril",4,"Mai",5,"Juin",6,"Juillet",7,"Août",8,"Septembre",9,"Octobre",10,"Novembre",11,"Décembre",12,NA())</f>
        <v>8</v>
      </c>
      <c r="C240" t="str">
        <f>REEL!C96</f>
        <v>Sud</v>
      </c>
      <c r="D240" t="str">
        <f>REEL!D96</f>
        <v>Services</v>
      </c>
      <c r="E240" t="s">
        <v>49</v>
      </c>
      <c r="F240" s="35">
        <f>REEL!E96</f>
        <v>45</v>
      </c>
      <c r="G240" s="18">
        <f>REEL!F96</f>
        <v>6873.81</v>
      </c>
      <c r="H240" s="36">
        <f>REEL!G96</f>
        <v>2628.34</v>
      </c>
      <c r="I240" s="36">
        <f>REEL!H96</f>
        <v>1388.06</v>
      </c>
      <c r="J240" s="36">
        <f>REEL!I96</f>
        <v>533.42999999999995</v>
      </c>
    </row>
    <row r="241" spans="1:10">
      <c r="A241" t="str">
        <f>REEL!A97</f>
        <v xml:space="preserve">Août </v>
      </c>
      <c r="B241" s="51" cm="1">
        <f t="array" ref="B241">_xlfn.SWITCH(TRIM(A241),"Janvier",1,"Février",2,"Mars",3,"Avril",4,"Mai",5,"Juin",6,"Juillet",7,"Août",8,"Septembre",9,"Octobre",10,"Novembre",11,"Décembre",12,NA())</f>
        <v>8</v>
      </c>
      <c r="C241" t="str">
        <f>REEL!C97</f>
        <v>Export</v>
      </c>
      <c r="D241" t="str">
        <f>REEL!D97</f>
        <v>Services</v>
      </c>
      <c r="E241" t="s">
        <v>49</v>
      </c>
      <c r="F241" s="35">
        <f>REEL!E97</f>
        <v>34</v>
      </c>
      <c r="G241" s="18">
        <f>REEL!F97</f>
        <v>5097.34</v>
      </c>
      <c r="H241" s="36">
        <f>REEL!G97</f>
        <v>2003.8</v>
      </c>
      <c r="I241" s="36">
        <f>REEL!H97</f>
        <v>1050.45</v>
      </c>
      <c r="J241" s="36">
        <f>REEL!I97</f>
        <v>410.79</v>
      </c>
    </row>
    <row r="242" spans="1:10">
      <c r="A242" t="str">
        <f>REEL!A98</f>
        <v xml:space="preserve">Septembre </v>
      </c>
      <c r="B242" s="51" cm="1">
        <f t="array" ref="B242">_xlfn.SWITCH(TRIM(A242),"Janvier",1,"Février",2,"Mars",3,"Avril",4,"Mai",5,"Juin",6,"Juillet",7,"Août",8,"Septembre",9,"Octobre",10,"Novembre",11,"Décembre",12,NA())</f>
        <v>9</v>
      </c>
      <c r="C242" t="str">
        <f>REEL!C98</f>
        <v>IDF</v>
      </c>
      <c r="D242" t="str">
        <f>REEL!D98</f>
        <v>composants</v>
      </c>
      <c r="E242" t="s">
        <v>49</v>
      </c>
      <c r="F242" s="35">
        <f>REEL!E98</f>
        <v>2054</v>
      </c>
      <c r="G242" s="18">
        <f>REEL!F98</f>
        <v>92738.25</v>
      </c>
      <c r="H242" s="36">
        <f>REEL!G98</f>
        <v>36551.53</v>
      </c>
      <c r="I242" s="36">
        <f>REEL!H98</f>
        <v>20604.45</v>
      </c>
      <c r="J242" s="36">
        <f>REEL!I98</f>
        <v>7504.42</v>
      </c>
    </row>
    <row r="243" spans="1:10">
      <c r="A243" t="str">
        <f>REEL!A99</f>
        <v xml:space="preserve">Septembre </v>
      </c>
      <c r="B243" s="51" cm="1">
        <f t="array" ref="B243">_xlfn.SWITCH(TRIM(A243),"Janvier",1,"Février",2,"Mars",3,"Avril",4,"Mai",5,"Juin",6,"Juillet",7,"Août",8,"Septembre",9,"Octobre",10,"Novembre",11,"Décembre",12,NA())</f>
        <v>9</v>
      </c>
      <c r="C243" t="str">
        <f>REEL!C99</f>
        <v>Nord</v>
      </c>
      <c r="D243" t="str">
        <f>REEL!D99</f>
        <v>composants</v>
      </c>
      <c r="E243" t="s">
        <v>49</v>
      </c>
      <c r="F243" s="35">
        <f>REEL!E99</f>
        <v>1258</v>
      </c>
      <c r="G243" s="18">
        <f>REEL!F99</f>
        <v>57126.66</v>
      </c>
      <c r="H243" s="36">
        <f>REEL!G99</f>
        <v>22891.01</v>
      </c>
      <c r="I243" s="36">
        <f>REEL!H99</f>
        <v>12533.95</v>
      </c>
      <c r="J243" s="36">
        <f>REEL!I99</f>
        <v>4567.9399999999996</v>
      </c>
    </row>
    <row r="244" spans="1:10">
      <c r="A244" t="str">
        <f>REEL!A100</f>
        <v xml:space="preserve">Septembre </v>
      </c>
      <c r="B244" s="51" cm="1">
        <f t="array" ref="B244">_xlfn.SWITCH(TRIM(A244),"Janvier",1,"Février",2,"Mars",3,"Avril",4,"Mai",5,"Juin",6,"Juillet",7,"Août",8,"Septembre",9,"Octobre",10,"Novembre",11,"Décembre",12,NA())</f>
        <v>9</v>
      </c>
      <c r="C244" t="str">
        <f>REEL!C100</f>
        <v>Sud</v>
      </c>
      <c r="D244" t="str">
        <f>REEL!D100</f>
        <v>composants</v>
      </c>
      <c r="E244" t="s">
        <v>49</v>
      </c>
      <c r="F244" s="35">
        <f>REEL!E100</f>
        <v>1157</v>
      </c>
      <c r="G244" s="18">
        <f>REEL!F100</f>
        <v>52603</v>
      </c>
      <c r="H244" s="36">
        <f>REEL!G100</f>
        <v>20554.63</v>
      </c>
      <c r="I244" s="36">
        <f>REEL!H100</f>
        <v>11531.09</v>
      </c>
      <c r="J244" s="36">
        <f>REEL!I100</f>
        <v>4244</v>
      </c>
    </row>
    <row r="245" spans="1:10">
      <c r="A245" t="str">
        <f>REEL!A101</f>
        <v xml:space="preserve">Septembre </v>
      </c>
      <c r="B245" s="51" cm="1">
        <f t="array" ref="B245">_xlfn.SWITCH(TRIM(A245),"Janvier",1,"Février",2,"Mars",3,"Avril",4,"Mai",5,"Juin",6,"Juillet",7,"Août",8,"Septembre",9,"Octobre",10,"Novembre",11,"Décembre",12,NA())</f>
        <v>9</v>
      </c>
      <c r="C245" t="str">
        <f>REEL!C101</f>
        <v>Export</v>
      </c>
      <c r="D245" t="str">
        <f>REEL!D101</f>
        <v>composants</v>
      </c>
      <c r="E245" t="s">
        <v>49</v>
      </c>
      <c r="F245" s="35">
        <f>REEL!E101</f>
        <v>804</v>
      </c>
      <c r="G245" s="18">
        <f>REEL!F101</f>
        <v>36414.9</v>
      </c>
      <c r="H245" s="36">
        <f>REEL!G101</f>
        <v>14277.05</v>
      </c>
      <c r="I245" s="36">
        <f>REEL!H101</f>
        <v>7982.14</v>
      </c>
      <c r="J245" s="36">
        <f>REEL!I101</f>
        <v>2832.73</v>
      </c>
    </row>
    <row r="246" spans="1:10">
      <c r="A246" t="str">
        <f>REEL!A102</f>
        <v xml:space="preserve">Septembre </v>
      </c>
      <c r="B246" s="51" cm="1">
        <f t="array" ref="B246">_xlfn.SWITCH(TRIM(A246),"Janvier",1,"Février",2,"Mars",3,"Avril",4,"Mai",5,"Juin",6,"Juillet",7,"Août",8,"Septembre",9,"Octobre",10,"Novembre",11,"Décembre",12,NA())</f>
        <v>9</v>
      </c>
      <c r="C246" t="str">
        <f>REEL!C102</f>
        <v>IDF</v>
      </c>
      <c r="D246" t="str">
        <f>REEL!D102</f>
        <v>Equipements</v>
      </c>
      <c r="E246" t="s">
        <v>49</v>
      </c>
      <c r="F246" s="35">
        <f>REEL!E102</f>
        <v>236</v>
      </c>
      <c r="G246" s="18">
        <f>REEL!F102</f>
        <v>74542.03</v>
      </c>
      <c r="H246" s="36">
        <f>REEL!G102</f>
        <v>31659.81</v>
      </c>
      <c r="I246" s="36">
        <f>REEL!H102</f>
        <v>17219.36</v>
      </c>
      <c r="J246" s="36">
        <f>REEL!I102</f>
        <v>5875.84</v>
      </c>
    </row>
    <row r="247" spans="1:10">
      <c r="A247" t="str">
        <f>REEL!A103</f>
        <v xml:space="preserve">Septembre </v>
      </c>
      <c r="B247" s="51" cm="1">
        <f t="array" ref="B247">_xlfn.SWITCH(TRIM(A247),"Janvier",1,"Février",2,"Mars",3,"Avril",4,"Mai",5,"Juin",6,"Juillet",7,"Août",8,"Septembre",9,"Octobre",10,"Novembre",11,"Décembre",12,NA())</f>
        <v>9</v>
      </c>
      <c r="C247" t="str">
        <f>REEL!C103</f>
        <v>Nord</v>
      </c>
      <c r="D247" t="str">
        <f>REEL!D103</f>
        <v>Equipements</v>
      </c>
      <c r="E247" t="s">
        <v>49</v>
      </c>
      <c r="F247" s="35">
        <f>REEL!E103</f>
        <v>144</v>
      </c>
      <c r="G247" s="18">
        <f>REEL!F103</f>
        <v>45555.360000000001</v>
      </c>
      <c r="H247" s="36">
        <f>REEL!G103</f>
        <v>19367.57</v>
      </c>
      <c r="I247" s="36">
        <f>REEL!H103</f>
        <v>10672.84</v>
      </c>
      <c r="J247" s="36">
        <f>REEL!I103</f>
        <v>3640.66</v>
      </c>
    </row>
    <row r="248" spans="1:10">
      <c r="A248" t="str">
        <f>REEL!A104</f>
        <v xml:space="preserve">Septembre </v>
      </c>
      <c r="B248" s="51" cm="1">
        <f t="array" ref="B248">_xlfn.SWITCH(TRIM(A248),"Janvier",1,"Février",2,"Mars",3,"Avril",4,"Mai",5,"Juin",6,"Juillet",7,"Août",8,"Septembre",9,"Octobre",10,"Novembre",11,"Décembre",12,NA())</f>
        <v>9</v>
      </c>
      <c r="C248" t="str">
        <f>REEL!C104</f>
        <v>Sud</v>
      </c>
      <c r="D248" t="str">
        <f>REEL!D104</f>
        <v>Equipements</v>
      </c>
      <c r="E248" t="s">
        <v>49</v>
      </c>
      <c r="F248" s="35">
        <f>REEL!E104</f>
        <v>140</v>
      </c>
      <c r="G248" s="18">
        <f>REEL!F104</f>
        <v>44038.39</v>
      </c>
      <c r="H248" s="36">
        <f>REEL!G104</f>
        <v>19469.599999999999</v>
      </c>
      <c r="I248" s="36">
        <f>REEL!H104</f>
        <v>10445.209999999999</v>
      </c>
      <c r="J248" s="36">
        <f>REEL!I104</f>
        <v>3586.64</v>
      </c>
    </row>
    <row r="249" spans="1:10">
      <c r="A249" t="str">
        <f>REEL!A105</f>
        <v xml:space="preserve">Septembre </v>
      </c>
      <c r="B249" s="51" cm="1">
        <f t="array" ref="B249">_xlfn.SWITCH(TRIM(A249),"Janvier",1,"Février",2,"Mars",3,"Avril",4,"Mai",5,"Juin",6,"Juillet",7,"Août",8,"Septembre",9,"Octobre",10,"Novembre",11,"Décembre",12,NA())</f>
        <v>9</v>
      </c>
      <c r="C249" t="str">
        <f>REEL!C105</f>
        <v>Export</v>
      </c>
      <c r="D249" t="str">
        <f>REEL!D105</f>
        <v>Equipements</v>
      </c>
      <c r="E249" t="s">
        <v>49</v>
      </c>
      <c r="F249" s="35">
        <f>REEL!E105</f>
        <v>99</v>
      </c>
      <c r="G249" s="18">
        <f>REEL!F105</f>
        <v>31924.85</v>
      </c>
      <c r="H249" s="36">
        <f>REEL!G105</f>
        <v>13303.63</v>
      </c>
      <c r="I249" s="36">
        <f>REEL!H105</f>
        <v>7394.04</v>
      </c>
      <c r="J249" s="36">
        <f>REEL!I105</f>
        <v>2499.17</v>
      </c>
    </row>
    <row r="250" spans="1:10">
      <c r="A250" t="str">
        <f>REEL!A106</f>
        <v xml:space="preserve">Septembre </v>
      </c>
      <c r="B250" s="51" cm="1">
        <f t="array" ref="B250">_xlfn.SWITCH(TRIM(A250),"Janvier",1,"Février",2,"Mars",3,"Avril",4,"Mai",5,"Juin",6,"Juillet",7,"Août",8,"Septembre",9,"Octobre",10,"Novembre",11,"Décembre",12,NA())</f>
        <v>9</v>
      </c>
      <c r="C250" t="str">
        <f>REEL!C106</f>
        <v>IDF</v>
      </c>
      <c r="D250" t="str">
        <f>REEL!D106</f>
        <v>Services</v>
      </c>
      <c r="E250" t="s">
        <v>49</v>
      </c>
      <c r="F250" s="35">
        <f>REEL!E106</f>
        <v>142</v>
      </c>
      <c r="G250" s="18">
        <f>REEL!F106</f>
        <v>20909.97</v>
      </c>
      <c r="H250" s="36">
        <f>REEL!G106</f>
        <v>8282.86</v>
      </c>
      <c r="I250" s="36">
        <f>REEL!H106</f>
        <v>4390.74</v>
      </c>
      <c r="J250" s="36">
        <f>REEL!I106</f>
        <v>1645.75</v>
      </c>
    </row>
    <row r="251" spans="1:10">
      <c r="A251" t="str">
        <f>REEL!A107</f>
        <v xml:space="preserve">Septembre </v>
      </c>
      <c r="B251" s="51" cm="1">
        <f t="array" ref="B251">_xlfn.SWITCH(TRIM(A251),"Janvier",1,"Février",2,"Mars",3,"Avril",4,"Mai",5,"Juin",6,"Juillet",7,"Août",8,"Septembre",9,"Octobre",10,"Novembre",11,"Décembre",12,NA())</f>
        <v>9</v>
      </c>
      <c r="C251" t="str">
        <f>REEL!C107</f>
        <v>Nord</v>
      </c>
      <c r="D251" t="str">
        <f>REEL!D107</f>
        <v>Services</v>
      </c>
      <c r="E251" t="s">
        <v>49</v>
      </c>
      <c r="F251" s="35">
        <f>REEL!E107</f>
        <v>92</v>
      </c>
      <c r="G251" s="18">
        <f>REEL!F107</f>
        <v>13716.28</v>
      </c>
      <c r="H251" s="36">
        <f>REEL!G107</f>
        <v>5529.43</v>
      </c>
      <c r="I251" s="36">
        <f>REEL!H107</f>
        <v>2966.98</v>
      </c>
      <c r="J251" s="36">
        <f>REEL!I107</f>
        <v>1122.8599999999999</v>
      </c>
    </row>
    <row r="252" spans="1:10">
      <c r="A252" t="str">
        <f>REEL!A108</f>
        <v xml:space="preserve">Septembre </v>
      </c>
      <c r="B252" s="51" cm="1">
        <f t="array" ref="B252">_xlfn.SWITCH(TRIM(A252),"Janvier",1,"Février",2,"Mars",3,"Avril",4,"Mai",5,"Juin",6,"Juillet",7,"Août",8,"Septembre",9,"Octobre",10,"Novembre",11,"Décembre",12,NA())</f>
        <v>9</v>
      </c>
      <c r="C252" t="str">
        <f>REEL!C108</f>
        <v>Sud</v>
      </c>
      <c r="D252" t="str">
        <f>REEL!D108</f>
        <v>Services</v>
      </c>
      <c r="E252" t="s">
        <v>49</v>
      </c>
      <c r="F252" s="35">
        <f>REEL!E108</f>
        <v>84</v>
      </c>
      <c r="G252" s="18">
        <f>REEL!F108</f>
        <v>12848.59</v>
      </c>
      <c r="H252" s="36">
        <f>REEL!G108</f>
        <v>4945.63</v>
      </c>
      <c r="I252" s="36">
        <f>REEL!H108</f>
        <v>2634.81</v>
      </c>
      <c r="J252" s="36">
        <f>REEL!I108</f>
        <v>1014.86</v>
      </c>
    </row>
    <row r="253" spans="1:10">
      <c r="A253" t="str">
        <f>REEL!A109</f>
        <v xml:space="preserve">Septembre </v>
      </c>
      <c r="B253" s="51" cm="1">
        <f t="array" ref="B253">_xlfn.SWITCH(TRIM(A253),"Janvier",1,"Février",2,"Mars",3,"Avril",4,"Mai",5,"Juin",6,"Juillet",7,"Août",8,"Septembre",9,"Octobre",10,"Novembre",11,"Décembre",12,NA())</f>
        <v>9</v>
      </c>
      <c r="C253" t="str">
        <f>REEL!C109</f>
        <v>Export</v>
      </c>
      <c r="D253" t="str">
        <f>REEL!D109</f>
        <v>Services</v>
      </c>
      <c r="E253" t="s">
        <v>49</v>
      </c>
      <c r="F253" s="35">
        <f>REEL!E109</f>
        <v>62</v>
      </c>
      <c r="G253" s="18">
        <f>REEL!F109</f>
        <v>9183.1200000000008</v>
      </c>
      <c r="H253" s="36">
        <f>REEL!G109</f>
        <v>3613.37</v>
      </c>
      <c r="I253" s="36">
        <f>REEL!H109</f>
        <v>1923.6</v>
      </c>
      <c r="J253" s="36">
        <f>REEL!I109</f>
        <v>730.63</v>
      </c>
    </row>
    <row r="254" spans="1:10">
      <c r="A254" t="str">
        <f>REEL!A110</f>
        <v xml:space="preserve">Octobre </v>
      </c>
      <c r="B254" s="51" cm="1">
        <f t="array" ref="B254">_xlfn.SWITCH(TRIM(A254),"Janvier",1,"Février",2,"Mars",3,"Avril",4,"Mai",5,"Juin",6,"Juillet",7,"Août",8,"Septembre",9,"Octobre",10,"Novembre",11,"Décembre",12,NA())</f>
        <v>10</v>
      </c>
      <c r="C254" t="str">
        <f>REEL!C110</f>
        <v>IDF</v>
      </c>
      <c r="D254" t="str">
        <f>REEL!D110</f>
        <v>composants</v>
      </c>
      <c r="E254" t="s">
        <v>49</v>
      </c>
      <c r="F254" s="35">
        <f>REEL!E110</f>
        <v>2078</v>
      </c>
      <c r="G254" s="18">
        <f>REEL!F110</f>
        <v>93195.31</v>
      </c>
      <c r="H254" s="36">
        <f>REEL!G110</f>
        <v>38426.82</v>
      </c>
      <c r="I254" s="36">
        <f>REEL!H110</f>
        <v>20745.419999999998</v>
      </c>
      <c r="J254" s="36">
        <f>REEL!I110</f>
        <v>7301.9</v>
      </c>
    </row>
    <row r="255" spans="1:10">
      <c r="A255" t="str">
        <f>REEL!A111</f>
        <v xml:space="preserve">Octobre </v>
      </c>
      <c r="B255" s="51" cm="1">
        <f t="array" ref="B255">_xlfn.SWITCH(TRIM(A255),"Janvier",1,"Février",2,"Mars",3,"Avril",4,"Mai",5,"Juin",6,"Juillet",7,"Août",8,"Septembre",9,"Octobre",10,"Novembre",11,"Décembre",12,NA())</f>
        <v>10</v>
      </c>
      <c r="C255" t="str">
        <f>REEL!C111</f>
        <v>Nord</v>
      </c>
      <c r="D255" t="str">
        <f>REEL!D111</f>
        <v>composants</v>
      </c>
      <c r="E255" t="s">
        <v>49</v>
      </c>
      <c r="F255" s="35">
        <f>REEL!E111</f>
        <v>1334</v>
      </c>
      <c r="G255" s="18">
        <f>REEL!F111</f>
        <v>60480.79</v>
      </c>
      <c r="H255" s="36">
        <f>REEL!G111</f>
        <v>24282.18</v>
      </c>
      <c r="I255" s="36">
        <f>REEL!H111</f>
        <v>12806.34</v>
      </c>
      <c r="J255" s="36">
        <f>REEL!I111</f>
        <v>4890.9799999999996</v>
      </c>
    </row>
    <row r="256" spans="1:10">
      <c r="A256" t="str">
        <f>REEL!A112</f>
        <v xml:space="preserve">Octobre </v>
      </c>
      <c r="B256" s="51" cm="1">
        <f t="array" ref="B256">_xlfn.SWITCH(TRIM(A256),"Janvier",1,"Février",2,"Mars",3,"Avril",4,"Mai",5,"Juin",6,"Juillet",7,"Août",8,"Septembre",9,"Octobre",10,"Novembre",11,"Décembre",12,NA())</f>
        <v>10</v>
      </c>
      <c r="C256" t="str">
        <f>REEL!C112</f>
        <v>Sud</v>
      </c>
      <c r="D256" t="str">
        <f>REEL!D112</f>
        <v>composants</v>
      </c>
      <c r="E256" t="s">
        <v>49</v>
      </c>
      <c r="F256" s="35">
        <f>REEL!E112</f>
        <v>1225</v>
      </c>
      <c r="G256" s="18">
        <f>REEL!F112</f>
        <v>56036.02</v>
      </c>
      <c r="H256" s="36">
        <f>REEL!G112</f>
        <v>22480.67</v>
      </c>
      <c r="I256" s="36">
        <f>REEL!H112</f>
        <v>11757.62</v>
      </c>
      <c r="J256" s="36">
        <f>REEL!I112</f>
        <v>4544.71</v>
      </c>
    </row>
    <row r="257" spans="1:10">
      <c r="A257" t="str">
        <f>REEL!A113</f>
        <v xml:space="preserve">Octobre </v>
      </c>
      <c r="B257" s="51" cm="1">
        <f t="array" ref="B257">_xlfn.SWITCH(TRIM(A257),"Janvier",1,"Février",2,"Mars",3,"Avril",4,"Mai",5,"Juin",6,"Juillet",7,"Août",8,"Septembre",9,"Octobre",10,"Novembre",11,"Décembre",12,NA())</f>
        <v>10</v>
      </c>
      <c r="C257" t="str">
        <f>REEL!C113</f>
        <v>Export</v>
      </c>
      <c r="D257" t="str">
        <f>REEL!D113</f>
        <v>composants</v>
      </c>
      <c r="E257" t="s">
        <v>49</v>
      </c>
      <c r="F257" s="35">
        <f>REEL!E113</f>
        <v>866</v>
      </c>
      <c r="G257" s="18">
        <f>REEL!F113</f>
        <v>38308.65</v>
      </c>
      <c r="H257" s="36">
        <f>REEL!G113</f>
        <v>16161.18</v>
      </c>
      <c r="I257" s="36">
        <f>REEL!H113</f>
        <v>8449.23</v>
      </c>
      <c r="J257" s="36">
        <f>REEL!I113</f>
        <v>3143.92</v>
      </c>
    </row>
    <row r="258" spans="1:10">
      <c r="A258" t="str">
        <f>REEL!A114</f>
        <v xml:space="preserve">Octobre </v>
      </c>
      <c r="B258" s="51" cm="1">
        <f t="array" ref="B258">_xlfn.SWITCH(TRIM(A258),"Janvier",1,"Février",2,"Mars",3,"Avril",4,"Mai",5,"Juin",6,"Juillet",7,"Août",8,"Septembre",9,"Octobre",10,"Novembre",11,"Décembre",12,NA())</f>
        <v>10</v>
      </c>
      <c r="C258" t="str">
        <f>REEL!C114</f>
        <v>IDF</v>
      </c>
      <c r="D258" t="str">
        <f>REEL!D114</f>
        <v>Equipements</v>
      </c>
      <c r="E258" t="s">
        <v>49</v>
      </c>
      <c r="F258" s="35">
        <f>REEL!E114</f>
        <v>257</v>
      </c>
      <c r="G258" s="18">
        <f>REEL!F114</f>
        <v>81188.89</v>
      </c>
      <c r="H258" s="36">
        <f>REEL!G114</f>
        <v>35515.65</v>
      </c>
      <c r="I258" s="36">
        <f>REEL!H114</f>
        <v>18900.64</v>
      </c>
      <c r="J258" s="36">
        <f>REEL!I114</f>
        <v>6379.33</v>
      </c>
    </row>
    <row r="259" spans="1:10">
      <c r="A259" t="str">
        <f>REEL!A115</f>
        <v xml:space="preserve">Octobre </v>
      </c>
      <c r="B259" s="51" cm="1">
        <f t="array" ref="B259">_xlfn.SWITCH(TRIM(A259),"Janvier",1,"Février",2,"Mars",3,"Avril",4,"Mai",5,"Juin",6,"Juillet",7,"Août",8,"Septembre",9,"Octobre",10,"Novembre",11,"Décembre",12,NA())</f>
        <v>10</v>
      </c>
      <c r="C259" t="str">
        <f>REEL!C115</f>
        <v>Nord</v>
      </c>
      <c r="D259" t="str">
        <f>REEL!D115</f>
        <v>Equipements</v>
      </c>
      <c r="E259" t="s">
        <v>49</v>
      </c>
      <c r="F259" s="35">
        <f>REEL!E115</f>
        <v>167</v>
      </c>
      <c r="G259" s="18">
        <f>REEL!F115</f>
        <v>52723.6</v>
      </c>
      <c r="H259" s="36">
        <f>REEL!G115</f>
        <v>22411.07</v>
      </c>
      <c r="I259" s="36">
        <f>REEL!H115</f>
        <v>12437.99</v>
      </c>
      <c r="J259" s="36">
        <f>REEL!I115</f>
        <v>4094.06</v>
      </c>
    </row>
    <row r="260" spans="1:10">
      <c r="A260" t="str">
        <f>REEL!A116</f>
        <v xml:space="preserve">Octobre </v>
      </c>
      <c r="B260" s="51" cm="1">
        <f t="array" ref="B260">_xlfn.SWITCH(TRIM(A260),"Janvier",1,"Février",2,"Mars",3,"Avril",4,"Mai",5,"Juin",6,"Juillet",7,"Août",8,"Septembre",9,"Octobre",10,"Novembre",11,"Décembre",12,NA())</f>
        <v>10</v>
      </c>
      <c r="C260" t="str">
        <f>REEL!C116</f>
        <v>Sud</v>
      </c>
      <c r="D260" t="str">
        <f>REEL!D116</f>
        <v>Equipements</v>
      </c>
      <c r="E260" t="s">
        <v>49</v>
      </c>
      <c r="F260" s="35">
        <f>REEL!E116</f>
        <v>152</v>
      </c>
      <c r="G260" s="18">
        <f>REEL!F116</f>
        <v>48234.65</v>
      </c>
      <c r="H260" s="36">
        <f>REEL!G116</f>
        <v>20662.29</v>
      </c>
      <c r="I260" s="36">
        <f>REEL!H116</f>
        <v>11196.04</v>
      </c>
      <c r="J260" s="36">
        <f>REEL!I116</f>
        <v>3839.76</v>
      </c>
    </row>
    <row r="261" spans="1:10">
      <c r="A261" t="str">
        <f>REEL!A117</f>
        <v xml:space="preserve">Octobre </v>
      </c>
      <c r="B261" s="51" cm="1">
        <f t="array" ref="B261">_xlfn.SWITCH(TRIM(A261),"Janvier",1,"Février",2,"Mars",3,"Avril",4,"Mai",5,"Juin",6,"Juillet",7,"Août",8,"Septembre",9,"Octobre",10,"Novembre",11,"Décembre",12,NA())</f>
        <v>10</v>
      </c>
      <c r="C261" t="str">
        <f>REEL!C117</f>
        <v>Export</v>
      </c>
      <c r="D261" t="str">
        <f>REEL!D117</f>
        <v>Equipements</v>
      </c>
      <c r="E261" t="s">
        <v>49</v>
      </c>
      <c r="F261" s="35">
        <f>REEL!E117</f>
        <v>107</v>
      </c>
      <c r="G261" s="18">
        <f>REEL!F117</f>
        <v>34468.120000000003</v>
      </c>
      <c r="H261" s="36">
        <f>REEL!G117</f>
        <v>14319.01</v>
      </c>
      <c r="I261" s="36">
        <f>REEL!H117</f>
        <v>7775.94</v>
      </c>
      <c r="J261" s="36">
        <f>REEL!I117</f>
        <v>2810.24</v>
      </c>
    </row>
    <row r="262" spans="1:10">
      <c r="A262" t="str">
        <f>REEL!A118</f>
        <v xml:space="preserve">Octobre </v>
      </c>
      <c r="B262" s="51" cm="1">
        <f t="array" ref="B262">_xlfn.SWITCH(TRIM(A262),"Janvier",1,"Février",2,"Mars",3,"Avril",4,"Mai",5,"Juin",6,"Juillet",7,"Août",8,"Septembre",9,"Octobre",10,"Novembre",11,"Décembre",12,NA())</f>
        <v>10</v>
      </c>
      <c r="C262" t="str">
        <f>REEL!C118</f>
        <v>IDF</v>
      </c>
      <c r="D262" t="str">
        <f>REEL!D118</f>
        <v>Services</v>
      </c>
      <c r="E262" t="s">
        <v>49</v>
      </c>
      <c r="F262" s="35">
        <f>REEL!E118</f>
        <v>156</v>
      </c>
      <c r="G262" s="18">
        <f>REEL!F118</f>
        <v>23272.67</v>
      </c>
      <c r="H262" s="36">
        <f>REEL!G118</f>
        <v>8859.8799999999992</v>
      </c>
      <c r="I262" s="36">
        <f>REEL!H118</f>
        <v>5006.8500000000004</v>
      </c>
      <c r="J262" s="36">
        <f>REEL!I118</f>
        <v>1854.6</v>
      </c>
    </row>
    <row r="263" spans="1:10">
      <c r="A263" t="str">
        <f>REEL!A119</f>
        <v xml:space="preserve">Octobre </v>
      </c>
      <c r="B263" s="51" cm="1">
        <f t="array" ref="B263">_xlfn.SWITCH(TRIM(A263),"Janvier",1,"Février",2,"Mars",3,"Avril",4,"Mai",5,"Juin",6,"Juillet",7,"Août",8,"Septembre",9,"Octobre",10,"Novembre",11,"Décembre",12,NA())</f>
        <v>10</v>
      </c>
      <c r="C263" t="str">
        <f>REEL!C119</f>
        <v>Nord</v>
      </c>
      <c r="D263" t="str">
        <f>REEL!D119</f>
        <v>Services</v>
      </c>
      <c r="E263" t="s">
        <v>49</v>
      </c>
      <c r="F263" s="35">
        <f>REEL!E119</f>
        <v>98</v>
      </c>
      <c r="G263" s="18">
        <f>REEL!F119</f>
        <v>14450.8</v>
      </c>
      <c r="H263" s="36">
        <f>REEL!G119</f>
        <v>5738.4</v>
      </c>
      <c r="I263" s="36">
        <f>REEL!H119</f>
        <v>3029.07</v>
      </c>
      <c r="J263" s="36">
        <f>REEL!I119</f>
        <v>1149.1099999999999</v>
      </c>
    </row>
    <row r="264" spans="1:10">
      <c r="A264" t="str">
        <f>REEL!A120</f>
        <v xml:space="preserve">Octobre </v>
      </c>
      <c r="B264" s="51" cm="1">
        <f t="array" ref="B264">_xlfn.SWITCH(TRIM(A264),"Janvier",1,"Février",2,"Mars",3,"Avril",4,"Mai",5,"Juin",6,"Juillet",7,"Août",8,"Septembre",9,"Octobre",10,"Novembre",11,"Décembre",12,NA())</f>
        <v>10</v>
      </c>
      <c r="C264" t="str">
        <f>REEL!C120</f>
        <v>Sud</v>
      </c>
      <c r="D264" t="str">
        <f>REEL!D120</f>
        <v>Services</v>
      </c>
      <c r="E264" t="s">
        <v>49</v>
      </c>
      <c r="F264" s="35">
        <f>REEL!E120</f>
        <v>88</v>
      </c>
      <c r="G264" s="18">
        <f>REEL!F120</f>
        <v>13096.1</v>
      </c>
      <c r="H264" s="36">
        <f>REEL!G120</f>
        <v>5082.74</v>
      </c>
      <c r="I264" s="36">
        <f>REEL!H120</f>
        <v>2834.92</v>
      </c>
      <c r="J264" s="36">
        <f>REEL!I120</f>
        <v>1030.17</v>
      </c>
    </row>
    <row r="265" spans="1:10">
      <c r="A265" t="str">
        <f>REEL!A121</f>
        <v xml:space="preserve">Octobre </v>
      </c>
      <c r="B265" s="51" cm="1">
        <f t="array" ref="B265">_xlfn.SWITCH(TRIM(A265),"Janvier",1,"Février",2,"Mars",3,"Avril",4,"Mai",5,"Juin",6,"Juillet",7,"Août",8,"Septembre",9,"Octobre",10,"Novembre",11,"Décembre",12,NA())</f>
        <v>10</v>
      </c>
      <c r="C265" t="str">
        <f>REEL!C121</f>
        <v>Export</v>
      </c>
      <c r="D265" t="str">
        <f>REEL!D121</f>
        <v>Services</v>
      </c>
      <c r="E265" t="s">
        <v>49</v>
      </c>
      <c r="F265" s="35">
        <f>REEL!E121</f>
        <v>64</v>
      </c>
      <c r="G265" s="18">
        <f>REEL!F121</f>
        <v>9730.3799999999992</v>
      </c>
      <c r="H265" s="36">
        <f>REEL!G121</f>
        <v>3780.08</v>
      </c>
      <c r="I265" s="36">
        <f>REEL!H121</f>
        <v>1986.44</v>
      </c>
      <c r="J265" s="36">
        <f>REEL!I121</f>
        <v>796.36</v>
      </c>
    </row>
    <row r="266" spans="1:10">
      <c r="A266" t="str">
        <f>REEL!A122</f>
        <v xml:space="preserve">Novembre </v>
      </c>
      <c r="B266" s="51" cm="1">
        <f t="array" ref="B266">_xlfn.SWITCH(TRIM(A266),"Janvier",1,"Février",2,"Mars",3,"Avril",4,"Mai",5,"Juin",6,"Juillet",7,"Août",8,"Septembre",9,"Octobre",10,"Novembre",11,"Décembre",12,NA())</f>
        <v>11</v>
      </c>
      <c r="C266" t="str">
        <f>REEL!C122</f>
        <v>IDF</v>
      </c>
      <c r="D266" t="str">
        <f>REEL!D122</f>
        <v>composants</v>
      </c>
      <c r="E266" t="s">
        <v>49</v>
      </c>
      <c r="F266" s="35">
        <f>REEL!E122</f>
        <v>2199</v>
      </c>
      <c r="G266" s="18">
        <f>REEL!F122</f>
        <v>97599.79</v>
      </c>
      <c r="H266" s="36">
        <f>REEL!G122</f>
        <v>40659.46</v>
      </c>
      <c r="I266" s="36">
        <f>REEL!H122</f>
        <v>21472.93</v>
      </c>
      <c r="J266" s="36">
        <f>REEL!I122</f>
        <v>7874.12</v>
      </c>
    </row>
    <row r="267" spans="1:10">
      <c r="A267" t="str">
        <f>REEL!A123</f>
        <v xml:space="preserve">Novembre </v>
      </c>
      <c r="B267" s="51" cm="1">
        <f t="array" ref="B267">_xlfn.SWITCH(TRIM(A267),"Janvier",1,"Février",2,"Mars",3,"Avril",4,"Mai",5,"Juin",6,"Juillet",7,"Août",8,"Septembre",9,"Octobre",10,"Novembre",11,"Décembre",12,NA())</f>
        <v>11</v>
      </c>
      <c r="C267" t="str">
        <f>REEL!C123</f>
        <v>Nord</v>
      </c>
      <c r="D267" t="str">
        <f>REEL!D123</f>
        <v>composants</v>
      </c>
      <c r="E267" t="s">
        <v>49</v>
      </c>
      <c r="F267" s="35">
        <f>REEL!E123</f>
        <v>1435</v>
      </c>
      <c r="G267" s="18">
        <f>REEL!F123</f>
        <v>65269.96</v>
      </c>
      <c r="H267" s="36">
        <f>REEL!G123</f>
        <v>25359.84</v>
      </c>
      <c r="I267" s="36">
        <f>REEL!H123</f>
        <v>13913.68</v>
      </c>
      <c r="J267" s="36">
        <f>REEL!I123</f>
        <v>5137.7700000000004</v>
      </c>
    </row>
    <row r="268" spans="1:10">
      <c r="A268" t="str">
        <f>REEL!A124</f>
        <v xml:space="preserve">Novembre </v>
      </c>
      <c r="B268" s="51" cm="1">
        <f t="array" ref="B268">_xlfn.SWITCH(TRIM(A268),"Janvier",1,"Février",2,"Mars",3,"Avril",4,"Mai",5,"Juin",6,"Juillet",7,"Août",8,"Septembre",9,"Octobre",10,"Novembre",11,"Décembre",12,NA())</f>
        <v>11</v>
      </c>
      <c r="C268" t="str">
        <f>REEL!C124</f>
        <v>Sud</v>
      </c>
      <c r="D268" t="str">
        <f>REEL!D124</f>
        <v>composants</v>
      </c>
      <c r="E268" t="s">
        <v>49</v>
      </c>
      <c r="F268" s="35">
        <f>REEL!E124</f>
        <v>1326</v>
      </c>
      <c r="G268" s="18">
        <f>REEL!F124</f>
        <v>59305.4</v>
      </c>
      <c r="H268" s="36">
        <f>REEL!G124</f>
        <v>24192.02</v>
      </c>
      <c r="I268" s="36">
        <f>REEL!H124</f>
        <v>12707.48</v>
      </c>
      <c r="J268" s="36">
        <f>REEL!I124</f>
        <v>4656.2</v>
      </c>
    </row>
    <row r="269" spans="1:10">
      <c r="A269" t="str">
        <f>REEL!A125</f>
        <v xml:space="preserve">Novembre </v>
      </c>
      <c r="B269" s="51" cm="1">
        <f t="array" ref="B269">_xlfn.SWITCH(TRIM(A269),"Janvier",1,"Février",2,"Mars",3,"Avril",4,"Mai",5,"Juin",6,"Juillet",7,"Août",8,"Septembre",9,"Octobre",10,"Novembre",11,"Décembre",12,NA())</f>
        <v>11</v>
      </c>
      <c r="C269" t="str">
        <f>REEL!C125</f>
        <v>Export</v>
      </c>
      <c r="D269" t="str">
        <f>REEL!D125</f>
        <v>composants</v>
      </c>
      <c r="E269" t="s">
        <v>49</v>
      </c>
      <c r="F269" s="35">
        <f>REEL!E125</f>
        <v>958</v>
      </c>
      <c r="G269" s="18">
        <f>REEL!F125</f>
        <v>42908.72</v>
      </c>
      <c r="H269" s="36">
        <f>REEL!G125</f>
        <v>17896.66</v>
      </c>
      <c r="I269" s="36">
        <f>REEL!H125</f>
        <v>9241.86</v>
      </c>
      <c r="J269" s="36">
        <f>REEL!I125</f>
        <v>3453.88</v>
      </c>
    </row>
    <row r="270" spans="1:10">
      <c r="A270" t="str">
        <f>REEL!A126</f>
        <v xml:space="preserve">Novembre </v>
      </c>
      <c r="B270" s="51" cm="1">
        <f t="array" ref="B270">_xlfn.SWITCH(TRIM(A270),"Janvier",1,"Février",2,"Mars",3,"Avril",4,"Mai",5,"Juin",6,"Juillet",7,"Août",8,"Septembre",9,"Octobre",10,"Novembre",11,"Décembre",12,NA())</f>
        <v>11</v>
      </c>
      <c r="C270" t="str">
        <f>REEL!C126</f>
        <v>IDF</v>
      </c>
      <c r="D270" t="str">
        <f>REEL!D126</f>
        <v>Equipements</v>
      </c>
      <c r="E270" t="s">
        <v>49</v>
      </c>
      <c r="F270" s="35">
        <f>REEL!E126</f>
        <v>262</v>
      </c>
      <c r="G270" s="18">
        <f>REEL!F126</f>
        <v>82672.539999999994</v>
      </c>
      <c r="H270" s="36">
        <f>REEL!G126</f>
        <v>35380.879999999997</v>
      </c>
      <c r="I270" s="36">
        <f>REEL!H126</f>
        <v>18954.89</v>
      </c>
      <c r="J270" s="36">
        <f>REEL!I126</f>
        <v>6449.93</v>
      </c>
    </row>
    <row r="271" spans="1:10">
      <c r="A271" t="str">
        <f>REEL!A127</f>
        <v xml:space="preserve">Novembre </v>
      </c>
      <c r="B271" s="51" cm="1">
        <f t="array" ref="B271">_xlfn.SWITCH(TRIM(A271),"Janvier",1,"Février",2,"Mars",3,"Avril",4,"Mai",5,"Juin",6,"Juillet",7,"Août",8,"Septembre",9,"Octobre",10,"Novembre",11,"Décembre",12,NA())</f>
        <v>11</v>
      </c>
      <c r="C271" t="str">
        <f>REEL!C127</f>
        <v>Nord</v>
      </c>
      <c r="D271" t="str">
        <f>REEL!D127</f>
        <v>Equipements</v>
      </c>
      <c r="E271" t="s">
        <v>49</v>
      </c>
      <c r="F271" s="35">
        <f>REEL!E127</f>
        <v>162</v>
      </c>
      <c r="G271" s="18">
        <f>REEL!F127</f>
        <v>51444.44</v>
      </c>
      <c r="H271" s="36">
        <f>REEL!G127</f>
        <v>22646.23</v>
      </c>
      <c r="I271" s="36">
        <f>REEL!H127</f>
        <v>11665.94</v>
      </c>
      <c r="J271" s="36">
        <f>REEL!I127</f>
        <v>4021.59</v>
      </c>
    </row>
    <row r="272" spans="1:10">
      <c r="A272" t="str">
        <f>REEL!A128</f>
        <v xml:space="preserve">Novembre </v>
      </c>
      <c r="B272" s="51" cm="1">
        <f t="array" ref="B272">_xlfn.SWITCH(TRIM(A272),"Janvier",1,"Février",2,"Mars",3,"Avril",4,"Mai",5,"Juin",6,"Juillet",7,"Août",8,"Septembre",9,"Octobre",10,"Novembre",11,"Décembre",12,NA())</f>
        <v>11</v>
      </c>
      <c r="C272" t="str">
        <f>REEL!C128</f>
        <v>Sud</v>
      </c>
      <c r="D272" t="str">
        <f>REEL!D128</f>
        <v>Equipements</v>
      </c>
      <c r="E272" t="s">
        <v>49</v>
      </c>
      <c r="F272" s="35">
        <f>REEL!E128</f>
        <v>158</v>
      </c>
      <c r="G272" s="18">
        <f>REEL!F128</f>
        <v>49969.93</v>
      </c>
      <c r="H272" s="36">
        <f>REEL!G128</f>
        <v>21952.959999999999</v>
      </c>
      <c r="I272" s="36">
        <f>REEL!H128</f>
        <v>11814.14</v>
      </c>
      <c r="J272" s="36">
        <f>REEL!I128</f>
        <v>3989.63</v>
      </c>
    </row>
    <row r="273" spans="1:10">
      <c r="A273" t="str">
        <f>REEL!A129</f>
        <v xml:space="preserve">Novembre </v>
      </c>
      <c r="B273" s="51" cm="1">
        <f t="array" ref="B273">_xlfn.SWITCH(TRIM(A273),"Janvier",1,"Février",2,"Mars",3,"Avril",4,"Mai",5,"Juin",6,"Juillet",7,"Août",8,"Septembre",9,"Octobre",10,"Novembre",11,"Décembre",12,NA())</f>
        <v>11</v>
      </c>
      <c r="C273" t="str">
        <f>REEL!C129</f>
        <v>Export</v>
      </c>
      <c r="D273" t="str">
        <f>REEL!D129</f>
        <v>Equipements</v>
      </c>
      <c r="E273" t="s">
        <v>49</v>
      </c>
      <c r="F273" s="35">
        <f>REEL!E129</f>
        <v>110</v>
      </c>
      <c r="G273" s="18">
        <f>REEL!F129</f>
        <v>35351.26</v>
      </c>
      <c r="H273" s="36">
        <f>REEL!G129</f>
        <v>14965.28</v>
      </c>
      <c r="I273" s="36">
        <f>REEL!H129</f>
        <v>7906.61</v>
      </c>
      <c r="J273" s="36">
        <f>REEL!I129</f>
        <v>2773.47</v>
      </c>
    </row>
    <row r="274" spans="1:10">
      <c r="A274" t="str">
        <f>REEL!A130</f>
        <v xml:space="preserve">Novembre </v>
      </c>
      <c r="B274" s="51" cm="1">
        <f t="array" ref="B274">_xlfn.SWITCH(TRIM(A274),"Janvier",1,"Février",2,"Mars",3,"Avril",4,"Mai",5,"Juin",6,"Juillet",7,"Août",8,"Septembre",9,"Octobre",10,"Novembre",11,"Décembre",12,NA())</f>
        <v>11</v>
      </c>
      <c r="C274" t="str">
        <f>REEL!C130</f>
        <v>IDF</v>
      </c>
      <c r="D274" t="str">
        <f>REEL!D130</f>
        <v>Services</v>
      </c>
      <c r="E274" t="s">
        <v>49</v>
      </c>
      <c r="F274" s="35">
        <f>REEL!E130</f>
        <v>157</v>
      </c>
      <c r="G274" s="18">
        <f>REEL!F130</f>
        <v>23881.39</v>
      </c>
      <c r="H274" s="36">
        <f>REEL!G130</f>
        <v>9373.09</v>
      </c>
      <c r="I274" s="36">
        <f>REEL!H130</f>
        <v>4936.78</v>
      </c>
      <c r="J274" s="36">
        <f>REEL!I130</f>
        <v>1887.67</v>
      </c>
    </row>
    <row r="275" spans="1:10">
      <c r="A275" t="str">
        <f>REEL!A131</f>
        <v xml:space="preserve">Novembre </v>
      </c>
      <c r="B275" s="51" cm="1">
        <f t="array" ref="B275">_xlfn.SWITCH(TRIM(A275),"Janvier",1,"Février",2,"Mars",3,"Avril",4,"Mai",5,"Juin",6,"Juillet",7,"Août",8,"Septembre",9,"Octobre",10,"Novembre",11,"Décembre",12,NA())</f>
        <v>11</v>
      </c>
      <c r="C275" t="str">
        <f>REEL!C131</f>
        <v>Nord</v>
      </c>
      <c r="D275" t="str">
        <f>REEL!D131</f>
        <v>Services</v>
      </c>
      <c r="E275" t="s">
        <v>49</v>
      </c>
      <c r="F275" s="35">
        <f>REEL!E131</f>
        <v>100</v>
      </c>
      <c r="G275" s="18">
        <f>REEL!F131</f>
        <v>15123.93</v>
      </c>
      <c r="H275" s="36">
        <f>REEL!G131</f>
        <v>5877.23</v>
      </c>
      <c r="I275" s="36">
        <f>REEL!H131</f>
        <v>3185.15</v>
      </c>
      <c r="J275" s="36">
        <f>REEL!I131</f>
        <v>1198.83</v>
      </c>
    </row>
    <row r="276" spans="1:10">
      <c r="A276" t="str">
        <f>REEL!A132</f>
        <v xml:space="preserve">Novembre </v>
      </c>
      <c r="B276" s="51" cm="1">
        <f t="array" ref="B276">_xlfn.SWITCH(TRIM(A276),"Janvier",1,"Février",2,"Mars",3,"Avril",4,"Mai",5,"Juin",6,"Juillet",7,"Août",8,"Septembre",9,"Octobre",10,"Novembre",11,"Décembre",12,NA())</f>
        <v>11</v>
      </c>
      <c r="C276" t="str">
        <f>REEL!C132</f>
        <v>Sud</v>
      </c>
      <c r="D276" t="str">
        <f>REEL!D132</f>
        <v>Services</v>
      </c>
      <c r="E276" t="s">
        <v>49</v>
      </c>
      <c r="F276" s="35">
        <f>REEL!E132</f>
        <v>97</v>
      </c>
      <c r="G276" s="18">
        <f>REEL!F132</f>
        <v>14400.15</v>
      </c>
      <c r="H276" s="36">
        <f>REEL!G132</f>
        <v>5708.87</v>
      </c>
      <c r="I276" s="36">
        <f>REEL!H132</f>
        <v>3089.28</v>
      </c>
      <c r="J276" s="36">
        <f>REEL!I132</f>
        <v>1121.26</v>
      </c>
    </row>
    <row r="277" spans="1:10">
      <c r="A277" t="str">
        <f>REEL!A133</f>
        <v xml:space="preserve">Novembre </v>
      </c>
      <c r="B277" s="51" cm="1">
        <f t="array" ref="B277">_xlfn.SWITCH(TRIM(A277),"Janvier",1,"Février",2,"Mars",3,"Avril",4,"Mai",5,"Juin",6,"Juillet",7,"Août",8,"Septembre",9,"Octobre",10,"Novembre",11,"Décembre",12,NA())</f>
        <v>11</v>
      </c>
      <c r="C277" t="str">
        <f>REEL!C133</f>
        <v>Export</v>
      </c>
      <c r="D277" t="str">
        <f>REEL!D133</f>
        <v>Services</v>
      </c>
      <c r="E277" t="s">
        <v>49</v>
      </c>
      <c r="F277" s="35">
        <f>REEL!E133</f>
        <v>67</v>
      </c>
      <c r="G277" s="18">
        <f>REEL!F133</f>
        <v>10022.68</v>
      </c>
      <c r="H277" s="36">
        <f>REEL!G133</f>
        <v>3894.81</v>
      </c>
      <c r="I277" s="36">
        <f>REEL!H133</f>
        <v>2113.65</v>
      </c>
      <c r="J277" s="36">
        <f>REEL!I133</f>
        <v>814.92</v>
      </c>
    </row>
    <row r="278" spans="1:10">
      <c r="A278" t="str">
        <f>REEL!A134</f>
        <v>Décembre</v>
      </c>
      <c r="B278" s="51" cm="1">
        <f t="array" ref="B278">_xlfn.SWITCH(TRIM(A278),"Janvier",1,"Février",2,"Mars",3,"Avril",4,"Mai",5,"Juin",6,"Juillet",7,"Août",8,"Septembre",9,"Octobre",10,"Novembre",11,"Décembre",12,NA())</f>
        <v>12</v>
      </c>
      <c r="C278" t="str">
        <f>REEL!C134</f>
        <v>IDF</v>
      </c>
      <c r="D278" t="str">
        <f>REEL!D134</f>
        <v>composants</v>
      </c>
      <c r="E278" t="s">
        <v>49</v>
      </c>
      <c r="F278" s="35">
        <f>REEL!E134</f>
        <v>2419</v>
      </c>
      <c r="G278" s="18">
        <f>REEL!F134</f>
        <v>107995.01</v>
      </c>
      <c r="H278" s="36">
        <f>REEL!G134</f>
        <v>43793.77</v>
      </c>
      <c r="I278" s="36">
        <f>REEL!H134</f>
        <v>23390.53</v>
      </c>
      <c r="J278" s="36">
        <f>REEL!I134</f>
        <v>8459.65</v>
      </c>
    </row>
    <row r="279" spans="1:10">
      <c r="A279" t="str">
        <f>REEL!A135</f>
        <v>Décembre</v>
      </c>
      <c r="B279" s="51" cm="1">
        <f t="array" ref="B279">_xlfn.SWITCH(TRIM(A279),"Janvier",1,"Février",2,"Mars",3,"Avril",4,"Mai",5,"Juin",6,"Juillet",7,"Août",8,"Septembre",9,"Octobre",10,"Novembre",11,"Décembre",12,NA())</f>
        <v>12</v>
      </c>
      <c r="C279" t="str">
        <f>REEL!C135</f>
        <v>Nord</v>
      </c>
      <c r="D279" t="str">
        <f>REEL!D135</f>
        <v>composants</v>
      </c>
      <c r="E279" t="s">
        <v>49</v>
      </c>
      <c r="F279" s="35">
        <f>REEL!E135</f>
        <v>1532</v>
      </c>
      <c r="G279" s="18">
        <f>REEL!F135</f>
        <v>68734.45</v>
      </c>
      <c r="H279" s="36">
        <f>REEL!G135</f>
        <v>28379.43</v>
      </c>
      <c r="I279" s="36">
        <f>REEL!H135</f>
        <v>14757.46</v>
      </c>
      <c r="J279" s="36">
        <f>REEL!I135</f>
        <v>5419.8</v>
      </c>
    </row>
    <row r="280" spans="1:10">
      <c r="A280" t="str">
        <f>REEL!A136</f>
        <v>Décembre</v>
      </c>
      <c r="B280" s="51" cm="1">
        <f t="array" ref="B280">_xlfn.SWITCH(TRIM(A280),"Janvier",1,"Février",2,"Mars",3,"Avril",4,"Mai",5,"Juin",6,"Juillet",7,"Août",8,"Septembre",9,"Octobre",10,"Novembre",11,"Décembre",12,NA())</f>
        <v>12</v>
      </c>
      <c r="C280" t="str">
        <f>REEL!C136</f>
        <v>Sud</v>
      </c>
      <c r="D280" t="str">
        <f>REEL!D136</f>
        <v>composants</v>
      </c>
      <c r="E280" t="s">
        <v>49</v>
      </c>
      <c r="F280" s="35">
        <f>REEL!E136</f>
        <v>1408</v>
      </c>
      <c r="G280" s="18">
        <f>REEL!F136</f>
        <v>62645.81</v>
      </c>
      <c r="H280" s="36">
        <f>REEL!G136</f>
        <v>25288.12</v>
      </c>
      <c r="I280" s="36">
        <f>REEL!H136</f>
        <v>14060.81</v>
      </c>
      <c r="J280" s="36">
        <f>REEL!I136</f>
        <v>5020.8</v>
      </c>
    </row>
    <row r="281" spans="1:10">
      <c r="A281" t="str">
        <f>REEL!A137</f>
        <v>Décembre</v>
      </c>
      <c r="B281" s="51" cm="1">
        <f t="array" ref="B281">_xlfn.SWITCH(TRIM(A281),"Janvier",1,"Février",2,"Mars",3,"Avril",4,"Mai",5,"Juin",6,"Juillet",7,"Août",8,"Septembre",9,"Octobre",10,"Novembre",11,"Décembre",12,NA())</f>
        <v>12</v>
      </c>
      <c r="C281" t="str">
        <f>REEL!C137</f>
        <v>Export</v>
      </c>
      <c r="D281" t="str">
        <f>REEL!D137</f>
        <v>composants</v>
      </c>
      <c r="E281" t="s">
        <v>49</v>
      </c>
      <c r="F281" s="35">
        <f>REEL!E137</f>
        <v>960</v>
      </c>
      <c r="G281" s="18">
        <f>REEL!F137</f>
        <v>42714.5</v>
      </c>
      <c r="H281" s="36">
        <f>REEL!G137</f>
        <v>17830.330000000002</v>
      </c>
      <c r="I281" s="36">
        <f>REEL!H137</f>
        <v>9546.74</v>
      </c>
      <c r="J281" s="36">
        <f>REEL!I137</f>
        <v>3477.18</v>
      </c>
    </row>
    <row r="282" spans="1:10">
      <c r="A282" t="str">
        <f>REEL!A138</f>
        <v>Décembre</v>
      </c>
      <c r="B282" s="51" cm="1">
        <f t="array" ref="B282">_xlfn.SWITCH(TRIM(A282),"Janvier",1,"Février",2,"Mars",3,"Avril",4,"Mai",5,"Juin",6,"Juillet",7,"Août",8,"Septembre",9,"Octobre",10,"Novembre",11,"Décembre",12,NA())</f>
        <v>12</v>
      </c>
      <c r="C282" t="str">
        <f>REEL!C138</f>
        <v>IDF</v>
      </c>
      <c r="D282" t="str">
        <f>REEL!D138</f>
        <v>Equipements</v>
      </c>
      <c r="E282" t="s">
        <v>49</v>
      </c>
      <c r="F282" s="35">
        <f>REEL!E138</f>
        <v>280</v>
      </c>
      <c r="G282" s="18">
        <f>REEL!F138</f>
        <v>88275.55</v>
      </c>
      <c r="H282" s="36">
        <f>REEL!G138</f>
        <v>38872.06</v>
      </c>
      <c r="I282" s="36">
        <f>REEL!H138</f>
        <v>20829.810000000001</v>
      </c>
      <c r="J282" s="36">
        <f>REEL!I138</f>
        <v>7204.17</v>
      </c>
    </row>
    <row r="283" spans="1:10">
      <c r="A283" t="str">
        <f>REEL!A139</f>
        <v>Décembre</v>
      </c>
      <c r="B283" s="51" cm="1">
        <f t="array" ref="B283">_xlfn.SWITCH(TRIM(A283),"Janvier",1,"Février",2,"Mars",3,"Avril",4,"Mai",5,"Juin",6,"Juillet",7,"Août",8,"Septembre",9,"Octobre",10,"Novembre",11,"Décembre",12,NA())</f>
        <v>12</v>
      </c>
      <c r="C283" t="str">
        <f>REEL!C139</f>
        <v>Nord</v>
      </c>
      <c r="D283" t="str">
        <f>REEL!D139</f>
        <v>Equipements</v>
      </c>
      <c r="E283" t="s">
        <v>49</v>
      </c>
      <c r="F283" s="35">
        <f>REEL!E139</f>
        <v>184</v>
      </c>
      <c r="G283" s="18">
        <f>REEL!F139</f>
        <v>59947.81</v>
      </c>
      <c r="H283" s="36">
        <f>REEL!G139</f>
        <v>24738.83</v>
      </c>
      <c r="I283" s="36">
        <f>REEL!H139</f>
        <v>13723.54</v>
      </c>
      <c r="J283" s="36">
        <f>REEL!I139</f>
        <v>4783.2</v>
      </c>
    </row>
    <row r="284" spans="1:10">
      <c r="A284" t="str">
        <f>REEL!A140</f>
        <v>Décembre</v>
      </c>
      <c r="B284" s="51" cm="1">
        <f t="array" ref="B284">_xlfn.SWITCH(TRIM(A284),"Janvier",1,"Février",2,"Mars",3,"Avril",4,"Mai",5,"Juin",6,"Juillet",7,"Août",8,"Septembre",9,"Octobre",10,"Novembre",11,"Décembre",12,NA())</f>
        <v>12</v>
      </c>
      <c r="C284" t="str">
        <f>REEL!C140</f>
        <v>Sud</v>
      </c>
      <c r="D284" t="str">
        <f>REEL!D140</f>
        <v>Equipements</v>
      </c>
      <c r="E284" t="s">
        <v>49</v>
      </c>
      <c r="F284" s="35">
        <f>REEL!E140</f>
        <v>160</v>
      </c>
      <c r="G284" s="18">
        <f>REEL!F140</f>
        <v>50196.33</v>
      </c>
      <c r="H284" s="36">
        <f>REEL!G140</f>
        <v>21544.240000000002</v>
      </c>
      <c r="I284" s="36">
        <f>REEL!H140</f>
        <v>11976.86</v>
      </c>
      <c r="J284" s="36">
        <f>REEL!I140</f>
        <v>3921.26</v>
      </c>
    </row>
    <row r="285" spans="1:10">
      <c r="A285" t="str">
        <f>REEL!A141</f>
        <v>Décembre</v>
      </c>
      <c r="B285" s="51" cm="1">
        <f t="array" ref="B285">_xlfn.SWITCH(TRIM(A285),"Janvier",1,"Février",2,"Mars",3,"Avril",4,"Mai",5,"Juin",6,"Juillet",7,"Août",8,"Septembre",9,"Octobre",10,"Novembre",11,"Décembre",12,NA())</f>
        <v>12</v>
      </c>
      <c r="C285" t="str">
        <f>REEL!C141</f>
        <v>Export</v>
      </c>
      <c r="D285" t="str">
        <f>REEL!D141</f>
        <v>Equipements</v>
      </c>
      <c r="E285" t="s">
        <v>49</v>
      </c>
      <c r="F285" s="35">
        <f>REEL!E141</f>
        <v>119</v>
      </c>
      <c r="G285" s="18">
        <f>REEL!F141</f>
        <v>37594.58</v>
      </c>
      <c r="H285" s="36">
        <f>REEL!G141</f>
        <v>16707.77</v>
      </c>
      <c r="I285" s="36">
        <f>REEL!H141</f>
        <v>8828.43</v>
      </c>
      <c r="J285" s="36">
        <f>REEL!I141</f>
        <v>3018.93</v>
      </c>
    </row>
    <row r="286" spans="1:10">
      <c r="A286" t="str">
        <f>REEL!A142</f>
        <v>Décembre</v>
      </c>
      <c r="B286" s="51" cm="1">
        <f t="array" ref="B286">_xlfn.SWITCH(TRIM(A286),"Janvier",1,"Février",2,"Mars",3,"Avril",4,"Mai",5,"Juin",6,"Juillet",7,"Août",8,"Septembre",9,"Octobre",10,"Novembre",11,"Décembre",12,NA())</f>
        <v>12</v>
      </c>
      <c r="C286" t="str">
        <f>REEL!C142</f>
        <v>IDF</v>
      </c>
      <c r="D286" t="str">
        <f>REEL!D142</f>
        <v>Services</v>
      </c>
      <c r="E286" t="s">
        <v>49</v>
      </c>
      <c r="F286" s="35">
        <f>REEL!E142</f>
        <v>171</v>
      </c>
      <c r="G286" s="18">
        <f>REEL!F142</f>
        <v>25442.34</v>
      </c>
      <c r="H286" s="36">
        <f>REEL!G142</f>
        <v>10153.5</v>
      </c>
      <c r="I286" s="36">
        <f>REEL!H142</f>
        <v>5430.27</v>
      </c>
      <c r="J286" s="36">
        <f>REEL!I142</f>
        <v>1981.16</v>
      </c>
    </row>
    <row r="287" spans="1:10">
      <c r="A287" t="str">
        <f>REEL!A143</f>
        <v>Décembre</v>
      </c>
      <c r="B287" s="51" cm="1">
        <f t="array" ref="B287">_xlfn.SWITCH(TRIM(A287),"Janvier",1,"Février",2,"Mars",3,"Avril",4,"Mai",5,"Juin",6,"Juillet",7,"Août",8,"Septembre",9,"Octobre",10,"Novembre",11,"Décembre",12,NA())</f>
        <v>12</v>
      </c>
      <c r="C287" t="str">
        <f>REEL!C143</f>
        <v>Nord</v>
      </c>
      <c r="D287" t="str">
        <f>REEL!D143</f>
        <v>Services</v>
      </c>
      <c r="E287" t="s">
        <v>49</v>
      </c>
      <c r="F287" s="35">
        <f>REEL!E143</f>
        <v>111</v>
      </c>
      <c r="G287" s="18">
        <f>REEL!F143</f>
        <v>16588.95</v>
      </c>
      <c r="H287" s="36">
        <f>REEL!G143</f>
        <v>6522.2</v>
      </c>
      <c r="I287" s="36">
        <f>REEL!H143</f>
        <v>3517.04</v>
      </c>
      <c r="J287" s="36">
        <f>REEL!I143</f>
        <v>1317.82</v>
      </c>
    </row>
    <row r="288" spans="1:10">
      <c r="A288" t="str">
        <f>REEL!A144</f>
        <v>Décembre</v>
      </c>
      <c r="B288" s="51" cm="1">
        <f t="array" ref="B288">_xlfn.SWITCH(TRIM(A288),"Janvier",1,"Février",2,"Mars",3,"Avril",4,"Mai",5,"Juin",6,"Juillet",7,"Août",8,"Septembre",9,"Octobre",10,"Novembre",11,"Décembre",12,NA())</f>
        <v>12</v>
      </c>
      <c r="C288" t="str">
        <f>REEL!C144</f>
        <v>Sud</v>
      </c>
      <c r="D288" t="str">
        <f>REEL!D144</f>
        <v>Services</v>
      </c>
      <c r="E288" t="s">
        <v>49</v>
      </c>
      <c r="F288" s="35">
        <f>REEL!E144</f>
        <v>100</v>
      </c>
      <c r="G288" s="18">
        <f>REEL!F144</f>
        <v>14779.96</v>
      </c>
      <c r="H288" s="36">
        <f>REEL!G144</f>
        <v>5984.58</v>
      </c>
      <c r="I288" s="36">
        <f>REEL!H144</f>
        <v>3183.98</v>
      </c>
      <c r="J288" s="36">
        <f>REEL!I144</f>
        <v>1216.02</v>
      </c>
    </row>
    <row r="289" spans="1:10">
      <c r="A289" t="str">
        <f>REEL!A145</f>
        <v>Décembre</v>
      </c>
      <c r="B289" s="51" cm="1">
        <f t="array" ref="B289">_xlfn.SWITCH(TRIM(A289),"Janvier",1,"Février",2,"Mars",3,"Avril",4,"Mai",5,"Juin",6,"Juillet",7,"Août",8,"Septembre",9,"Octobre",10,"Novembre",11,"Décembre",12,NA())</f>
        <v>12</v>
      </c>
      <c r="C289" t="str">
        <f>REEL!C145</f>
        <v>Export</v>
      </c>
      <c r="D289" t="str">
        <f>REEL!D145</f>
        <v>Services</v>
      </c>
      <c r="E289" t="s">
        <v>49</v>
      </c>
      <c r="F289" s="35">
        <f>REEL!E145</f>
        <v>74</v>
      </c>
      <c r="G289" s="18">
        <f>REEL!F145</f>
        <v>11176.65</v>
      </c>
      <c r="H289" s="36">
        <f>REEL!G145</f>
        <v>4219.55</v>
      </c>
      <c r="I289" s="36">
        <f>REEL!H145</f>
        <v>2279.2600000000002</v>
      </c>
      <c r="J289" s="36">
        <f>REEL!I145</f>
        <v>907.13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296CD-370B-4D68-9AAA-3B150624D806}">
  <dimension ref="A1:I18"/>
  <sheetViews>
    <sheetView workbookViewId="0">
      <selection activeCell="K16" sqref="K16"/>
    </sheetView>
  </sheetViews>
  <sheetFormatPr defaultRowHeight="14.4"/>
  <cols>
    <col min="1" max="1" width="12.44140625" bestFit="1" customWidth="1"/>
    <col min="2" max="2" width="15.5546875" bestFit="1" customWidth="1"/>
    <col min="3" max="3" width="10.44140625" customWidth="1"/>
    <col min="4" max="4" width="9" bestFit="1" customWidth="1"/>
    <col min="5" max="5" width="10.21875" hidden="1" customWidth="1"/>
    <col min="6" max="6" width="13.88671875" hidden="1" customWidth="1"/>
    <col min="7" max="7" width="15.88671875" hidden="1" customWidth="1"/>
    <col min="9" max="9" width="7.109375" bestFit="1" customWidth="1"/>
  </cols>
  <sheetData>
    <row r="1" spans="1:9">
      <c r="A1" s="5" t="s">
        <v>2</v>
      </c>
      <c r="B1" t="s">
        <v>36</v>
      </c>
    </row>
    <row r="3" spans="1:9">
      <c r="B3" s="5" t="s">
        <v>35</v>
      </c>
    </row>
    <row r="4" spans="1:9">
      <c r="B4" t="s">
        <v>209</v>
      </c>
      <c r="E4" t="s">
        <v>253</v>
      </c>
    </row>
    <row r="5" spans="1:9">
      <c r="A5" s="5" t="s">
        <v>33</v>
      </c>
      <c r="B5" t="s">
        <v>48</v>
      </c>
      <c r="C5" t="s">
        <v>49</v>
      </c>
      <c r="D5" t="s">
        <v>50</v>
      </c>
      <c r="E5" t="s">
        <v>48</v>
      </c>
      <c r="F5" t="s">
        <v>49</v>
      </c>
      <c r="G5" t="s">
        <v>50</v>
      </c>
      <c r="I5" t="s">
        <v>51</v>
      </c>
    </row>
    <row r="6" spans="1:9">
      <c r="A6" s="6" t="s">
        <v>14</v>
      </c>
      <c r="B6" s="36">
        <v>440460</v>
      </c>
      <c r="C6" s="36">
        <v>441824.18999999994</v>
      </c>
      <c r="D6" s="42">
        <v>1364.1899999999441</v>
      </c>
      <c r="E6" s="51">
        <v>12</v>
      </c>
      <c r="F6" s="51">
        <v>12</v>
      </c>
      <c r="G6" s="42">
        <v>0</v>
      </c>
      <c r="I6" s="55">
        <f>IFERROR(D6/B6,0)</f>
        <v>3.0971938428005813E-3</v>
      </c>
    </row>
    <row r="7" spans="1:9">
      <c r="A7" s="6" t="s">
        <v>15</v>
      </c>
      <c r="B7" s="36">
        <v>450135</v>
      </c>
      <c r="C7" s="36">
        <v>453839.01000000007</v>
      </c>
      <c r="D7" s="42">
        <v>3704.0100000000675</v>
      </c>
      <c r="E7" s="51">
        <v>24</v>
      </c>
      <c r="F7" s="51">
        <v>24</v>
      </c>
      <c r="G7" s="42">
        <v>0</v>
      </c>
      <c r="I7" s="55">
        <f t="shared" ref="I7:I11" si="0">IFERROR(D7/B7,0)</f>
        <v>8.2286647339133087E-3</v>
      </c>
    </row>
    <row r="8" spans="1:9">
      <c r="A8" s="6" t="s">
        <v>16</v>
      </c>
      <c r="B8" s="36">
        <v>489400</v>
      </c>
      <c r="C8" s="36">
        <v>491421.69000000006</v>
      </c>
      <c r="D8" s="42">
        <v>2021.6900000000605</v>
      </c>
      <c r="E8" s="51">
        <v>36</v>
      </c>
      <c r="F8" s="51">
        <v>36</v>
      </c>
      <c r="G8" s="42">
        <v>0</v>
      </c>
      <c r="I8" s="55">
        <f t="shared" si="0"/>
        <v>4.1309562729874554E-3</v>
      </c>
    </row>
    <row r="9" spans="1:9">
      <c r="A9" s="6" t="s">
        <v>17</v>
      </c>
      <c r="B9" s="36">
        <v>499015</v>
      </c>
      <c r="C9" s="36">
        <v>504318.51</v>
      </c>
      <c r="D9" s="42">
        <v>5303.5100000000093</v>
      </c>
      <c r="E9" s="51">
        <v>48</v>
      </c>
      <c r="F9" s="51">
        <v>48</v>
      </c>
      <c r="G9" s="42">
        <v>0</v>
      </c>
      <c r="I9" s="55">
        <f t="shared" si="0"/>
        <v>1.0627957075438633E-2</v>
      </c>
    </row>
    <row r="10" spans="1:9">
      <c r="A10" s="6" t="s">
        <v>18</v>
      </c>
      <c r="B10" s="36">
        <v>503935</v>
      </c>
      <c r="C10" s="36">
        <v>504154.63</v>
      </c>
      <c r="D10" s="42">
        <v>219.63000000000466</v>
      </c>
      <c r="E10" s="51">
        <v>60</v>
      </c>
      <c r="F10" s="51">
        <v>60</v>
      </c>
      <c r="G10" s="42">
        <v>0</v>
      </c>
      <c r="I10" s="54">
        <f t="shared" si="0"/>
        <v>4.3583001776023627E-4</v>
      </c>
    </row>
    <row r="11" spans="1:9">
      <c r="A11" s="6" t="s">
        <v>19</v>
      </c>
      <c r="B11" s="36">
        <v>513700</v>
      </c>
      <c r="C11" s="36">
        <v>515693.36000000004</v>
      </c>
      <c r="D11" s="42">
        <v>1993.3600000000442</v>
      </c>
      <c r="E11" s="51">
        <v>72</v>
      </c>
      <c r="F11" s="51">
        <v>72</v>
      </c>
      <c r="G11" s="42">
        <v>0</v>
      </c>
      <c r="I11" s="55">
        <f t="shared" si="0"/>
        <v>3.8803971189411025E-3</v>
      </c>
    </row>
    <row r="12" spans="1:9">
      <c r="A12" s="6" t="s">
        <v>20</v>
      </c>
      <c r="B12" s="36">
        <v>464930</v>
      </c>
      <c r="C12" s="36">
        <v>454596.31</v>
      </c>
      <c r="D12" s="42">
        <v>-10333.690000000002</v>
      </c>
      <c r="E12" s="51">
        <v>84</v>
      </c>
      <c r="F12" s="51">
        <v>84</v>
      </c>
      <c r="G12" s="42">
        <v>0</v>
      </c>
      <c r="I12" s="52">
        <f t="shared" ref="I7:I18" si="1">IFERROR(D12/B12,0)</f>
        <v>-2.222633514722647E-2</v>
      </c>
    </row>
    <row r="13" spans="1:9">
      <c r="A13" s="6" t="s">
        <v>21</v>
      </c>
      <c r="B13" s="36">
        <v>269340</v>
      </c>
      <c r="C13" s="36">
        <v>272205.67000000004</v>
      </c>
      <c r="D13" s="42">
        <v>2865.6700000000419</v>
      </c>
      <c r="E13" s="51">
        <v>96</v>
      </c>
      <c r="F13" s="51">
        <v>96</v>
      </c>
      <c r="G13" s="42">
        <v>0</v>
      </c>
      <c r="I13" s="55">
        <f t="shared" si="1"/>
        <v>1.0639600504938153E-2</v>
      </c>
    </row>
    <row r="14" spans="1:9">
      <c r="A14" s="6" t="s">
        <v>22</v>
      </c>
      <c r="B14" s="36">
        <v>489400</v>
      </c>
      <c r="C14" s="36">
        <v>491601.39999999997</v>
      </c>
      <c r="D14" s="42">
        <v>2201.3999999999651</v>
      </c>
      <c r="E14" s="51">
        <v>108</v>
      </c>
      <c r="F14" s="51">
        <v>108</v>
      </c>
      <c r="G14" s="42">
        <v>0</v>
      </c>
      <c r="I14" s="55">
        <f t="shared" si="1"/>
        <v>4.4981610134858302E-3</v>
      </c>
    </row>
    <row r="15" spans="1:9">
      <c r="A15" s="6" t="s">
        <v>23</v>
      </c>
      <c r="B15" s="36">
        <v>528345</v>
      </c>
      <c r="C15" s="36">
        <v>525185.97999999986</v>
      </c>
      <c r="D15" s="42">
        <v>-3159.020000000135</v>
      </c>
      <c r="E15" s="51">
        <v>120</v>
      </c>
      <c r="F15" s="51">
        <v>120</v>
      </c>
      <c r="G15" s="42">
        <v>0</v>
      </c>
      <c r="I15" s="52">
        <f t="shared" si="1"/>
        <v>-5.979085635333229E-3</v>
      </c>
    </row>
    <row r="16" spans="1:9">
      <c r="A16" s="6" t="s">
        <v>24</v>
      </c>
      <c r="B16" s="36">
        <v>548380</v>
      </c>
      <c r="C16" s="36">
        <v>547950.19000000006</v>
      </c>
      <c r="D16" s="42">
        <v>-429.80999999993946</v>
      </c>
      <c r="E16" s="51">
        <v>132</v>
      </c>
      <c r="F16" s="51">
        <v>132</v>
      </c>
      <c r="G16" s="42">
        <v>0</v>
      </c>
      <c r="I16" s="52">
        <f t="shared" si="1"/>
        <v>-7.8378131952284817E-4</v>
      </c>
    </row>
    <row r="17" spans="1:9">
      <c r="A17" s="6" t="s">
        <v>25</v>
      </c>
      <c r="B17" s="36">
        <v>587450</v>
      </c>
      <c r="C17" s="36">
        <v>586091.93999999994</v>
      </c>
      <c r="D17" s="42">
        <v>-1358.0600000000559</v>
      </c>
      <c r="E17" s="51">
        <v>144</v>
      </c>
      <c r="F17" s="51">
        <v>144</v>
      </c>
      <c r="G17" s="42">
        <v>0</v>
      </c>
      <c r="I17" s="52">
        <f t="shared" si="1"/>
        <v>-2.3117882372968865E-3</v>
      </c>
    </row>
    <row r="18" spans="1:9">
      <c r="A18" s="6" t="s">
        <v>34</v>
      </c>
      <c r="B18" s="36">
        <v>5784490</v>
      </c>
      <c r="C18" s="36">
        <v>5788882.8800000008</v>
      </c>
      <c r="D18" s="42">
        <v>4392.8800000000047</v>
      </c>
      <c r="E18" s="51">
        <v>936</v>
      </c>
      <c r="F18" s="51">
        <v>936</v>
      </c>
      <c r="G18" s="42">
        <v>0</v>
      </c>
      <c r="I18" s="55">
        <f t="shared" si="1"/>
        <v>7.5942390772566033E-4</v>
      </c>
    </row>
  </sheetData>
  <conditionalFormatting sqref="D162:D200">
    <cfRule type="cellIs" dxfId="62" priority="15" operator="lessThan">
      <formula>0</formula>
    </cfRule>
  </conditionalFormatting>
  <conditionalFormatting sqref="G19:G200">
    <cfRule type="cellIs" dxfId="61" priority="14" operator="lessThan">
      <formula>0</formula>
    </cfRule>
  </conditionalFormatting>
  <conditionalFormatting pivot="1" sqref="D6:D18">
    <cfRule type="cellIs" priority="16" operator="between"/>
  </conditionalFormatting>
  <conditionalFormatting sqref="A3:G3 A5:A17 F5 A4:F4">
    <cfRule type="expression" dxfId="58" priority="19">
      <formula>AND(COLUMN()=4,ROW()&gt;=5,$D3&gt;0)</formula>
    </cfRule>
  </conditionalFormatting>
  <conditionalFormatting sqref="A3:G3 A5:A17 F5 A4:F4">
    <cfRule type="expression" dxfId="57" priority="20">
      <formula>AND(COLUMN()=4,ROW()&gt;=5,$D3&lt;0)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3" id="{C66C5636-3966-4E50-89EC-51BE77C02301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Arrows" iconId="0"/>
              <x14:cfIcon iconSet="NoIcons" iconId="0"/>
              <x14:cfIcon iconSet="3Arrows" iconId="2"/>
            </x14:iconSet>
          </x14:cfRule>
          <xm:sqref>G19:G200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A2143-155B-4C47-A51E-FB30D4900F80}">
  <dimension ref="A1:I19"/>
  <sheetViews>
    <sheetView workbookViewId="0">
      <selection activeCell="I18" sqref="I18"/>
    </sheetView>
  </sheetViews>
  <sheetFormatPr defaultRowHeight="14.4"/>
  <cols>
    <col min="1" max="1" width="12.44140625" bestFit="1" customWidth="1"/>
    <col min="2" max="2" width="20.88671875" bestFit="1" customWidth="1"/>
    <col min="3" max="3" width="10.21875" hidden="1" customWidth="1"/>
    <col min="4" max="4" width="20.88671875" bestFit="1" customWidth="1"/>
    <col min="5" max="5" width="10.21875" hidden="1" customWidth="1"/>
    <col min="6" max="6" width="20.88671875" bestFit="1" customWidth="1"/>
    <col min="7" max="7" width="10.21875" hidden="1" customWidth="1"/>
  </cols>
  <sheetData>
    <row r="1" spans="1:9">
      <c r="A1" s="5" t="s">
        <v>3</v>
      </c>
      <c r="B1" t="s">
        <v>12</v>
      </c>
    </row>
    <row r="2" spans="1:9">
      <c r="A2" s="5" t="s">
        <v>2</v>
      </c>
      <c r="B2" t="s">
        <v>36</v>
      </c>
    </row>
    <row r="4" spans="1:9">
      <c r="B4" s="5" t="s">
        <v>35</v>
      </c>
    </row>
    <row r="5" spans="1:9">
      <c r="B5" t="s">
        <v>48</v>
      </c>
      <c r="C5" t="s">
        <v>48</v>
      </c>
      <c r="D5" t="s">
        <v>50</v>
      </c>
      <c r="E5" t="s">
        <v>50</v>
      </c>
      <c r="F5" t="s">
        <v>49</v>
      </c>
      <c r="G5" t="s">
        <v>49</v>
      </c>
      <c r="I5" t="s">
        <v>51</v>
      </c>
    </row>
    <row r="6" spans="1:9">
      <c r="A6" s="5" t="s">
        <v>33</v>
      </c>
      <c r="B6" t="s">
        <v>254</v>
      </c>
      <c r="C6" t="s">
        <v>253</v>
      </c>
      <c r="D6" t="s">
        <v>254</v>
      </c>
      <c r="E6" t="s">
        <v>253</v>
      </c>
      <c r="F6" t="s">
        <v>254</v>
      </c>
      <c r="G6" t="s">
        <v>253</v>
      </c>
      <c r="I6" s="53"/>
    </row>
    <row r="7" spans="1:9">
      <c r="A7" s="6" t="s">
        <v>14</v>
      </c>
      <c r="B7" s="36">
        <v>76167</v>
      </c>
      <c r="C7" s="51">
        <v>4</v>
      </c>
      <c r="D7" s="44">
        <v>958.36999999999534</v>
      </c>
      <c r="E7" s="44">
        <v>0</v>
      </c>
      <c r="F7" s="36">
        <v>77125.37</v>
      </c>
      <c r="G7" s="51">
        <v>4</v>
      </c>
      <c r="I7" s="53">
        <f>IFERROR(D7/B7,0)</f>
        <v>1.2582483227644457E-2</v>
      </c>
    </row>
    <row r="8" spans="1:9">
      <c r="A8" s="6" t="s">
        <v>15</v>
      </c>
      <c r="B8" s="36">
        <v>77805</v>
      </c>
      <c r="C8" s="51">
        <v>8</v>
      </c>
      <c r="D8" s="44">
        <v>-374.69999999999709</v>
      </c>
      <c r="E8" s="44">
        <v>0</v>
      </c>
      <c r="F8" s="36">
        <v>77430.3</v>
      </c>
      <c r="G8" s="51">
        <v>8</v>
      </c>
      <c r="I8" s="54">
        <f t="shared" ref="I8:I18" si="0">IFERROR(D8/B8,0)</f>
        <v>-4.8158858685174097E-3</v>
      </c>
    </row>
    <row r="9" spans="1:9">
      <c r="A9" s="6" t="s">
        <v>16</v>
      </c>
      <c r="B9" s="36">
        <v>84630</v>
      </c>
      <c r="C9" s="51">
        <v>12</v>
      </c>
      <c r="D9" s="44">
        <v>-518.67000000001281</v>
      </c>
      <c r="E9" s="44">
        <v>0</v>
      </c>
      <c r="F9" s="36">
        <v>84111.329999999987</v>
      </c>
      <c r="G9" s="51">
        <v>12</v>
      </c>
      <c r="I9" s="53">
        <f t="shared" si="0"/>
        <v>-6.1286777738392157E-3</v>
      </c>
    </row>
    <row r="10" spans="1:9">
      <c r="A10" s="6" t="s">
        <v>17</v>
      </c>
      <c r="B10" s="36">
        <v>86268</v>
      </c>
      <c r="C10" s="51">
        <v>16</v>
      </c>
      <c r="D10" s="44">
        <v>-424.66999999999825</v>
      </c>
      <c r="E10" s="44">
        <v>0</v>
      </c>
      <c r="F10" s="36">
        <v>85843.33</v>
      </c>
      <c r="G10" s="51">
        <v>16</v>
      </c>
      <c r="I10" s="52">
        <f t="shared" si="0"/>
        <v>-4.9226828024296178E-3</v>
      </c>
    </row>
    <row r="11" spans="1:9">
      <c r="A11" s="6" t="s">
        <v>18</v>
      </c>
      <c r="B11" s="36">
        <v>87087</v>
      </c>
      <c r="C11" s="51">
        <v>20</v>
      </c>
      <c r="D11" s="44">
        <v>-874.13000000000466</v>
      </c>
      <c r="E11" s="44">
        <v>0</v>
      </c>
      <c r="F11" s="36">
        <v>86212.87</v>
      </c>
      <c r="G11" s="51">
        <v>20</v>
      </c>
      <c r="I11" s="52">
        <f t="shared" si="0"/>
        <v>-1.0037433830537332E-2</v>
      </c>
    </row>
    <row r="12" spans="1:9">
      <c r="A12" s="6" t="s">
        <v>19</v>
      </c>
      <c r="B12" s="36">
        <v>88725</v>
      </c>
      <c r="C12" s="51">
        <v>24</v>
      </c>
      <c r="D12" s="44">
        <v>166.45999999999185</v>
      </c>
      <c r="E12" s="44">
        <v>0</v>
      </c>
      <c r="F12" s="36">
        <v>88891.459999999992</v>
      </c>
      <c r="G12" s="51">
        <v>24</v>
      </c>
      <c r="I12" s="52">
        <f t="shared" si="0"/>
        <v>1.8761341222878767E-3</v>
      </c>
    </row>
    <row r="13" spans="1:9">
      <c r="A13" s="6" t="s">
        <v>20</v>
      </c>
      <c r="B13" s="36">
        <v>80398.5</v>
      </c>
      <c r="C13" s="51">
        <v>28</v>
      </c>
      <c r="D13" s="44">
        <v>-1579.3500000000058</v>
      </c>
      <c r="E13" s="44">
        <v>0</v>
      </c>
      <c r="F13" s="36">
        <v>78819.149999999994</v>
      </c>
      <c r="G13" s="51">
        <v>28</v>
      </c>
      <c r="I13" s="52">
        <f t="shared" si="0"/>
        <v>-1.9644023209388309E-2</v>
      </c>
    </row>
    <row r="14" spans="1:9">
      <c r="A14" s="6" t="s">
        <v>21</v>
      </c>
      <c r="B14" s="36">
        <v>46683</v>
      </c>
      <c r="C14" s="51">
        <v>32</v>
      </c>
      <c r="D14" s="44">
        <v>-476.69999999999709</v>
      </c>
      <c r="E14" s="44">
        <v>0</v>
      </c>
      <c r="F14" s="36">
        <v>46206.3</v>
      </c>
      <c r="G14" s="51">
        <v>32</v>
      </c>
      <c r="I14" s="52">
        <f t="shared" si="0"/>
        <v>-1.0211426000899623E-2</v>
      </c>
    </row>
    <row r="15" spans="1:9">
      <c r="A15" s="6" t="s">
        <v>22</v>
      </c>
      <c r="B15" s="36">
        <v>84630</v>
      </c>
      <c r="C15" s="51">
        <v>36</v>
      </c>
      <c r="D15" s="44">
        <v>-829.38999999999942</v>
      </c>
      <c r="E15" s="44">
        <v>0</v>
      </c>
      <c r="F15" s="36">
        <v>83800.61</v>
      </c>
      <c r="G15" s="51">
        <v>36</v>
      </c>
      <c r="I15" s="52">
        <f t="shared" si="0"/>
        <v>-9.8001890582535677E-3</v>
      </c>
    </row>
    <row r="16" spans="1:9">
      <c r="A16" s="6" t="s">
        <v>23</v>
      </c>
      <c r="B16" s="36">
        <v>91318.5</v>
      </c>
      <c r="C16" s="51">
        <v>40</v>
      </c>
      <c r="D16" s="44">
        <v>1589.5200000000041</v>
      </c>
      <c r="E16" s="44">
        <v>0</v>
      </c>
      <c r="F16" s="36">
        <v>92908.02</v>
      </c>
      <c r="G16" s="51">
        <v>40</v>
      </c>
      <c r="I16" s="52">
        <f t="shared" si="0"/>
        <v>1.7406330590187136E-2</v>
      </c>
    </row>
    <row r="17" spans="1:9">
      <c r="A17" s="6" t="s">
        <v>24</v>
      </c>
      <c r="B17" s="36">
        <v>94867.5</v>
      </c>
      <c r="C17" s="51">
        <v>44</v>
      </c>
      <c r="D17" s="44">
        <v>77.850000000005821</v>
      </c>
      <c r="E17" s="44">
        <v>0</v>
      </c>
      <c r="F17" s="36">
        <v>94945.35</v>
      </c>
      <c r="G17" s="51">
        <v>44</v>
      </c>
      <c r="I17" s="52">
        <f t="shared" si="0"/>
        <v>8.2061823069023445E-4</v>
      </c>
    </row>
    <row r="18" spans="1:9">
      <c r="A18" s="6" t="s">
        <v>25</v>
      </c>
      <c r="B18" s="36">
        <v>101692.5</v>
      </c>
      <c r="C18" s="51">
        <v>48</v>
      </c>
      <c r="D18" s="44">
        <v>170.39999999999418</v>
      </c>
      <c r="E18" s="44">
        <v>0</v>
      </c>
      <c r="F18" s="36">
        <v>101862.9</v>
      </c>
      <c r="G18" s="51">
        <v>48</v>
      </c>
      <c r="I18" s="55">
        <f t="shared" si="0"/>
        <v>1.6756397964451082E-3</v>
      </c>
    </row>
    <row r="19" spans="1:9">
      <c r="A19" s="6" t="s">
        <v>34</v>
      </c>
      <c r="B19" s="36">
        <v>1000272</v>
      </c>
      <c r="C19" s="51">
        <v>312</v>
      </c>
      <c r="D19" s="44">
        <v>-2115.0100000000239</v>
      </c>
      <c r="E19" s="44">
        <v>0</v>
      </c>
      <c r="F19" s="36">
        <v>998156.98999999987</v>
      </c>
      <c r="G19" s="51">
        <v>312</v>
      </c>
    </row>
  </sheetData>
  <conditionalFormatting sqref="A4:G5 F6:G6 A6:A18">
    <cfRule type="expression" dxfId="18" priority="8">
      <formula>AND(COLUMN()=3,ROW()&gt;=6,$C4&lt;0)</formula>
    </cfRule>
  </conditionalFormatting>
  <conditionalFormatting sqref="F6:G6 A4:G5 A6:A18">
    <cfRule type="expression" dxfId="17" priority="7">
      <formula>AND(COLUMN()=3,ROW()&gt;=6,$C4&gt;0)</formula>
    </cfRule>
  </conditionalFormatting>
  <conditionalFormatting sqref="G6">
    <cfRule type="cellIs" dxfId="16" priority="5" operator="greaterThan">
      <formula>0</formula>
    </cfRule>
    <cfRule type="cellIs" dxfId="15" priority="6" operator="lessThan">
      <formula>0</formula>
    </cfRule>
  </conditionalFormatting>
  <conditionalFormatting sqref="I5:I18">
    <cfRule type="expression" dxfId="14" priority="3">
      <formula>AND(COLUMN()=3,ROW()&gt;=6,$C5&gt;0)</formula>
    </cfRule>
    <cfRule type="expression" dxfId="13" priority="4">
      <formula>AND(COLUMN()=3,ROW()&gt;=6,$C5&lt;0)</formula>
    </cfRule>
  </conditionalFormatting>
  <conditionalFormatting sqref="I6:I17">
    <cfRule type="cellIs" dxfId="12" priority="1" operator="greaterThan">
      <formula>0</formula>
    </cfRule>
    <cfRule type="cellIs" dxfId="11" priority="2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49005-97CC-4655-89E0-89466288DB18}">
  <dimension ref="A1:O5"/>
  <sheetViews>
    <sheetView workbookViewId="0">
      <selection activeCell="I3" sqref="I3"/>
    </sheetView>
  </sheetViews>
  <sheetFormatPr defaultRowHeight="14.4"/>
  <cols>
    <col min="1" max="1" width="11.44140625" bestFit="1" customWidth="1"/>
    <col min="2" max="2" width="13.44140625" bestFit="1" customWidth="1"/>
    <col min="3" max="3" width="11" bestFit="1" customWidth="1"/>
    <col min="4" max="4" width="10.33203125" bestFit="1" customWidth="1"/>
    <col min="5" max="5" width="8.33203125" style="3" bestFit="1" customWidth="1"/>
    <col min="6" max="6" width="11.5546875" bestFit="1" customWidth="1"/>
    <col min="7" max="7" width="10.33203125" bestFit="1" customWidth="1"/>
    <col min="8" max="8" width="13.109375" bestFit="1" customWidth="1"/>
    <col min="9" max="9" width="11.5546875" bestFit="1" customWidth="1"/>
    <col min="10" max="10" width="18.33203125" bestFit="1" customWidth="1"/>
    <col min="11" max="11" width="16.77734375" bestFit="1" customWidth="1"/>
    <col min="12" max="12" width="10.6640625" bestFit="1" customWidth="1"/>
    <col min="15" max="15" width="24.21875" bestFit="1" customWidth="1"/>
  </cols>
  <sheetData>
    <row r="1" spans="1:15">
      <c r="A1" s="7" t="s">
        <v>3</v>
      </c>
      <c r="B1" s="7" t="s">
        <v>52</v>
      </c>
      <c r="C1" s="7" t="s">
        <v>38</v>
      </c>
      <c r="D1" s="7" t="s">
        <v>53</v>
      </c>
      <c r="E1" s="9" t="s">
        <v>54</v>
      </c>
      <c r="F1" s="7" t="s">
        <v>55</v>
      </c>
      <c r="G1" s="7" t="s">
        <v>56</v>
      </c>
      <c r="H1" s="7" t="s">
        <v>57</v>
      </c>
      <c r="I1" s="7" t="s">
        <v>58</v>
      </c>
      <c r="J1" s="7" t="s">
        <v>59</v>
      </c>
      <c r="K1" s="7" t="s">
        <v>60</v>
      </c>
      <c r="L1" s="7" t="s">
        <v>61</v>
      </c>
      <c r="M1" s="7" t="s">
        <v>62</v>
      </c>
      <c r="N1" s="7" t="s">
        <v>63</v>
      </c>
      <c r="O1" s="7" t="s">
        <v>64</v>
      </c>
    </row>
    <row r="2" spans="1:15">
      <c r="A2" t="s">
        <v>11</v>
      </c>
      <c r="B2" s="35">
        <f>SUMIFS(Consolide!$F$2:$F$289,Consolide!$D$2:$D$289,$A2,Consolide!$E$2:$E$289,"Budget")</f>
        <v>61464</v>
      </c>
      <c r="C2" s="35">
        <f>SUMIFS(Consolide!$F$2:$F$289,Consolide!$D$2:$D$289,$A2,Consolide!$E$2:$E$289,"Réel")</f>
        <v>61920</v>
      </c>
      <c r="D2" s="37">
        <f>SUMIFS(Consolide!$G$2:$G$289,Consolide!$D$2:$D$289,$A2,Consolide!$E$2:$E$289,"Budget")/B2</f>
        <v>45</v>
      </c>
      <c r="E2" s="37">
        <f>SUMIFS(Consolide!$G$2:$G$289,Consolide!$D$2:$D$289,$A2,Consolide!$E$2:$E$289,"Réel")/C2</f>
        <v>44.923218023255806</v>
      </c>
      <c r="F2" s="44">
        <f>(C2-B2)*D2</f>
        <v>20520</v>
      </c>
      <c r="G2" s="44">
        <f>(E2-D2)*C2</f>
        <v>-4754.3400000004622</v>
      </c>
      <c r="H2" s="44">
        <f>C2*E2-B2*D2</f>
        <v>15765.659999999683</v>
      </c>
      <c r="I2" s="36">
        <f>ROUND(F2+G2-H2,2)</f>
        <v>0</v>
      </c>
      <c r="J2" s="35">
        <f>SUM($B$2:$B$4)</f>
        <v>73283</v>
      </c>
      <c r="K2" s="35">
        <f>SUM($C$2:$C$4)</f>
        <v>73732</v>
      </c>
      <c r="L2" s="15">
        <f>B2/J2</f>
        <v>0.83872112222479978</v>
      </c>
      <c r="M2" s="15">
        <f>C2/K2</f>
        <v>0.8397981880323333</v>
      </c>
      <c r="N2" s="44">
        <f>(M2-L2)*K2*D2</f>
        <v>3573.6397254477943</v>
      </c>
      <c r="O2">
        <f>SUMPRODUCT($B$2:$B$4,$D$2:$D$4)/J2</f>
        <v>78.933586234188013</v>
      </c>
    </row>
    <row r="3" spans="1:15">
      <c r="A3" t="s">
        <v>12</v>
      </c>
      <c r="B3" s="35">
        <f>SUMIFS(Consolide!$F$2:$F$289,Consolide!$D$2:$D$289,$A3,Consolide!$E$2:$E$289,"Budget")</f>
        <v>7328</v>
      </c>
      <c r="C3" s="35">
        <f>SUMIFS(Consolide!$F$2:$F$289,Consolide!$D$2:$D$289,$A3,Consolide!$E$2:$E$289,"Réel")</f>
        <v>7346</v>
      </c>
      <c r="D3" s="37">
        <f>SUMIFS(Consolide!$G$2:$G$289,Consolide!$D$2:$D$289,$A3,Consolide!$E$2:$E$289,"Budget")/B3</f>
        <v>320</v>
      </c>
      <c r="E3" s="37">
        <f>SUMIFS(Consolide!$G$2:$G$289,Consolide!$D$2:$D$289,$A3,Consolide!$E$2:$E$289,"Réel")/C3</f>
        <v>318.1856071331336</v>
      </c>
      <c r="F3" s="44">
        <f t="shared" ref="F3:F4" si="0">(C3-B3)*D3</f>
        <v>5760</v>
      </c>
      <c r="G3" s="44">
        <f t="shared" ref="G3:G4" si="1">(E3-D3)*C3</f>
        <v>-13328.530000000566</v>
      </c>
      <c r="H3" s="44">
        <f t="shared" ref="H3:H4" si="2">C3*E3-B3*D3</f>
        <v>-7568.5300000007264</v>
      </c>
      <c r="I3" s="36">
        <f t="shared" ref="I3:I4" si="3">ROUND(F3+G3-H3,2)</f>
        <v>0</v>
      </c>
      <c r="J3" s="35">
        <f t="shared" ref="J3" si="4">SUM($B$2:$B$4)</f>
        <v>73283</v>
      </c>
      <c r="K3" s="35">
        <f t="shared" ref="K3:K4" si="5">SUM($C$2:$C$4)</f>
        <v>73732</v>
      </c>
      <c r="L3" s="15">
        <f t="shared" ref="L3:L4" si="6">B3/J3</f>
        <v>9.9995906281129324E-2</v>
      </c>
      <c r="M3" s="15">
        <f t="shared" ref="M3:M4" si="7">C3/K3</f>
        <v>9.9631096403189928E-2</v>
      </c>
      <c r="N3" s="44">
        <f t="shared" ref="N3:N4" si="8">(M3-L3)*K3*D3</f>
        <v>-8607.4118144728018</v>
      </c>
      <c r="O3">
        <f>(K2-J2)*O2</f>
        <v>35441.180219150418</v>
      </c>
    </row>
    <row r="4" spans="1:15">
      <c r="A4" t="s">
        <v>13</v>
      </c>
      <c r="B4" s="35">
        <f>SUMIFS(Consolide!$F$2:$F$289,Consolide!$D$2:$D$289,$A4,Consolide!$E$2:$E$289,"Budget")</f>
        <v>4491</v>
      </c>
      <c r="C4" s="35">
        <f>SUMIFS(Consolide!$F$2:$F$289,Consolide!$D$2:$D$289,$A4,Consolide!$E$2:$E$289,"Réel")</f>
        <v>4466</v>
      </c>
      <c r="D4" s="37">
        <f>SUMIFS(Consolide!$G$2:$G$289,Consolide!$D$2:$D$289,$A4,Consolide!$E$2:$E$289,"Budget")/B4</f>
        <v>150</v>
      </c>
      <c r="E4" s="37">
        <f>SUMIFS(Consolide!$G$2:$G$289,Consolide!$D$2:$D$289,$A4,Consolide!$E$2:$E$289,"Réel")/C4</f>
        <v>149.98785266457682</v>
      </c>
      <c r="F4" s="44">
        <f t="shared" si="0"/>
        <v>-3750</v>
      </c>
      <c r="G4" s="44">
        <f t="shared" si="1"/>
        <v>-54.249999999920021</v>
      </c>
      <c r="H4" s="44">
        <f t="shared" si="2"/>
        <v>-3804.2499999998836</v>
      </c>
      <c r="I4" s="36">
        <f t="shared" si="3"/>
        <v>0</v>
      </c>
      <c r="J4" s="35">
        <f>SUM($B$2:$B$4)</f>
        <v>73283</v>
      </c>
      <c r="K4" s="35">
        <f t="shared" si="5"/>
        <v>73732</v>
      </c>
      <c r="L4" s="15">
        <f t="shared" si="6"/>
        <v>6.1282971494070929E-2</v>
      </c>
      <c r="M4" s="15">
        <f t="shared" si="7"/>
        <v>6.0570715564476754E-2</v>
      </c>
      <c r="N4" s="44">
        <f t="shared" si="8"/>
        <v>-7877.4081301256501</v>
      </c>
      <c r="O4">
        <f>O3+SUM($N$2:$N$4)+SUM($G$2:$G$4)</f>
        <v>4392.8799999988114</v>
      </c>
    </row>
    <row r="5" spans="1:15">
      <c r="O5">
        <f>ROUND(O4-SUM($H$2:$H$4),2)</f>
        <v>0</v>
      </c>
    </row>
  </sheetData>
  <conditionalFormatting sqref="F2:H4">
    <cfRule type="cellIs" dxfId="10" priority="1" operator="greaterThan">
      <formula>0</formula>
    </cfRule>
    <cfRule type="cellIs" dxfId="9" priority="2" operator="lessThan">
      <formula>0</formula>
    </cfRule>
  </conditionalFormatting>
  <conditionalFormatting sqref="N2:N4">
    <cfRule type="cellIs" dxfId="8" priority="3" operator="greaterThan">
      <formula>0</formula>
    </cfRule>
    <cfRule type="cellIs" dxfId="7" priority="4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0A54B-B602-4E98-8E8E-12CF4037811E}">
  <dimension ref="A1:K4"/>
  <sheetViews>
    <sheetView workbookViewId="0">
      <selection activeCell="D28" sqref="D28"/>
    </sheetView>
  </sheetViews>
  <sheetFormatPr defaultRowHeight="14.4"/>
  <cols>
    <col min="1" max="1" width="10.88671875" bestFit="1" customWidth="1"/>
    <col min="2" max="3" width="13.109375" style="12" bestFit="1" customWidth="1"/>
    <col min="4" max="4" width="12.44140625" style="12" bestFit="1" customWidth="1"/>
    <col min="5" max="5" width="11" bestFit="1" customWidth="1"/>
    <col min="6" max="7" width="13.109375" style="12" bestFit="1" customWidth="1"/>
    <col min="8" max="8" width="11.44140625" style="12" bestFit="1" customWidth="1"/>
    <col min="9" max="9" width="9" bestFit="1" customWidth="1"/>
    <col min="10" max="10" width="12.77734375" style="12" bestFit="1" customWidth="1"/>
    <col min="11" max="11" width="12.88671875" style="3" bestFit="1" customWidth="1"/>
  </cols>
  <sheetData>
    <row r="1" spans="1:11">
      <c r="A1" s="7" t="s">
        <v>3</v>
      </c>
      <c r="B1" s="11" t="s">
        <v>5</v>
      </c>
      <c r="C1" s="11" t="s">
        <v>65</v>
      </c>
      <c r="D1" s="11" t="s">
        <v>66</v>
      </c>
      <c r="E1" s="10" t="s">
        <v>67</v>
      </c>
      <c r="F1" s="11" t="s">
        <v>37</v>
      </c>
      <c r="G1" s="11" t="s">
        <v>68</v>
      </c>
      <c r="H1" s="11" t="s">
        <v>69</v>
      </c>
      <c r="I1" s="7" t="s">
        <v>70</v>
      </c>
      <c r="J1" s="11" t="s">
        <v>71</v>
      </c>
      <c r="K1" s="9" t="s">
        <v>72</v>
      </c>
    </row>
    <row r="2" spans="1:11">
      <c r="A2" t="s">
        <v>11</v>
      </c>
      <c r="B2" s="12">
        <f>SUMIFS(Consolide!$G$2:$G$289,Consolide!$D$2:$D$289,$A2,Consolide!$E$2:$E$289,"Budget")</f>
        <v>2765880</v>
      </c>
      <c r="C2" s="12">
        <f>SUMIFS(Consolide!$H$2:$H$289,Consolide!$D$2:$D$289,$A2,Consolide!$E$2:$E$289,"Budget")+SUMIFS(Consolide!$I$2:$I$289,Consolide!$D$2:$D$289,$A2,Consolide!$E$2:$E$289,"Budget")+SUMIFS(Consolide!$J$2:$J$289,Consolide!$D$2:$D$289,$A2,Consolide!$E$2:$E$289,"Budget")</f>
        <v>1942262.4000000004</v>
      </c>
      <c r="D2" s="12">
        <f>B2-C2</f>
        <v>823617.59999999963</v>
      </c>
      <c r="E2" s="15">
        <f>D2/B2</f>
        <v>0.29777777777777764</v>
      </c>
      <c r="F2" s="12">
        <f>SUMIFS(Consolide!$G$2:$G$289,Consolide!$D$2:$D$289,$A2,Consolide!$E$2:$E$289,"Réel")</f>
        <v>2781645.6599999997</v>
      </c>
      <c r="G2" s="12">
        <f>SUMIFS(Consolide!$H$2:$H$289,Consolide!$D$2:$D$289,$A2,Consolide!$E$2:$E$289,"Réel")+SUMIFS(Consolide!$I$2:$I$289,Consolide!$D$2:$D$289,$A2,Consolide!$E$2:$E$289,"Réel")+SUMIFS(Consolide!$J$2:$J$289,Consolide!$D$2:$D$289,$A2,Consolide!$E$2:$E$289,"Réel")</f>
        <v>1986565.0400000005</v>
      </c>
      <c r="H2" s="12">
        <f>F2-G2</f>
        <v>795080.61999999918</v>
      </c>
      <c r="I2" s="15">
        <f>H2/F2</f>
        <v>0.28583102133864141</v>
      </c>
      <c r="J2" s="44">
        <f>H2-D2</f>
        <v>-28536.980000000447</v>
      </c>
      <c r="K2" s="43">
        <f>I2-E2</f>
        <v>-1.194675643913623E-2</v>
      </c>
    </row>
    <row r="3" spans="1:11">
      <c r="A3" t="s">
        <v>12</v>
      </c>
      <c r="B3" s="12">
        <f>SUMIFS(Consolide!$G$2:$G$289,Consolide!$D$2:$D$289,$A3,Consolide!$E$2:$E$289,"Budget")</f>
        <v>2344960</v>
      </c>
      <c r="C3" s="12">
        <f>SUMIFS(Consolide!$H$2:$H$289,Consolide!$D$2:$D$289,$A3,Consolide!$E$2:$E$289,"Budget")+SUMIFS(Consolide!$I$2:$I$289,Consolide!$D$2:$D$289,$A3,Consolide!$E$2:$E$289,"Budget")+SUMIFS(Consolide!$J$2:$J$289,Consolide!$D$2:$D$289,$A3,Consolide!$E$2:$E$289,"Budget")</f>
        <v>1726476.8</v>
      </c>
      <c r="D3" s="12">
        <f t="shared" ref="D3:D4" si="0">B3-C3</f>
        <v>618483.19999999995</v>
      </c>
      <c r="E3" s="15">
        <f t="shared" ref="E3:E4" si="1">D3/B3</f>
        <v>0.26374999999999998</v>
      </c>
      <c r="F3" s="12">
        <f>SUMIFS(Consolide!$G$2:$G$289,Consolide!$D$2:$D$289,$A3,Consolide!$E$2:$E$289,"Réel")</f>
        <v>2337391.4699999993</v>
      </c>
      <c r="G3" s="12">
        <f>SUMIFS(Consolide!$H$2:$H$289,Consolide!$D$2:$D$289,$A3,Consolide!$E$2:$E$289,"Réel")+SUMIFS(Consolide!$I$2:$I$289,Consolide!$D$2:$D$289,$A3,Consolide!$E$2:$E$289,"Réel")+SUMIFS(Consolide!$J$2:$J$289,Consolide!$D$2:$D$289,$A3,Consolide!$E$2:$E$289,"Réel")</f>
        <v>1725124.5600000003</v>
      </c>
      <c r="H3" s="12">
        <f t="shared" ref="H3:H4" si="2">F3-G3</f>
        <v>612266.90999999898</v>
      </c>
      <c r="I3" s="15">
        <f t="shared" ref="I3:I4" si="3">H3/F3</f>
        <v>0.2619445299849576</v>
      </c>
      <c r="J3" s="44">
        <f t="shared" ref="J3:J4" si="4">H3-D3</f>
        <v>-6216.2900000009686</v>
      </c>
      <c r="K3" s="43">
        <f t="shared" ref="K3:K4" si="5">I3-E3</f>
        <v>-1.8054700150423875E-3</v>
      </c>
    </row>
    <row r="4" spans="1:11">
      <c r="A4" s="8" t="s">
        <v>13</v>
      </c>
      <c r="B4" s="12">
        <f>SUMIFS(Consolide!$G$2:$G$289,Consolide!$D$2:$D$289,$A4,Consolide!$E$2:$E$289,"Budget")</f>
        <v>673650</v>
      </c>
      <c r="C4" s="12">
        <f>SUMIFS(Consolide!$H$2:$H$289,Consolide!$D$2:$D$289,$A4,Consolide!$E$2:$E$289,"Budget")+SUMIFS(Consolide!$I$2:$I$289,Consolide!$D$2:$D$289,$A4,Consolide!$E$2:$E$289,"Budget")+SUMIFS(Consolide!$J$2:$J$289,Consolide!$D$2:$D$289,$A4,Consolide!$E$2:$E$289,"Budget")</f>
        <v>458082</v>
      </c>
      <c r="D4" s="12">
        <f t="shared" si="0"/>
        <v>215568</v>
      </c>
      <c r="E4" s="15">
        <f t="shared" si="1"/>
        <v>0.32</v>
      </c>
      <c r="F4" s="12">
        <f>SUMIFS(Consolide!$G$2:$G$289,Consolide!$D$2:$D$289,$A4,Consolide!$E$2:$E$289,"Réel")</f>
        <v>669845.75000000012</v>
      </c>
      <c r="G4" s="12">
        <f>SUMIFS(Consolide!$H$2:$H$289,Consolide!$D$2:$D$289,$A4,Consolide!$E$2:$E$289,"Réel")+SUMIFS(Consolide!$I$2:$I$289,Consolide!$D$2:$D$289,$A4,Consolide!$E$2:$E$289,"Réel")+SUMIFS(Consolide!$J$2:$J$289,Consolide!$D$2:$D$289,$A4,Consolide!$E$2:$E$289,"Réel")</f>
        <v>455489.81999999995</v>
      </c>
      <c r="H4" s="12">
        <f t="shared" si="2"/>
        <v>214355.93000000017</v>
      </c>
      <c r="I4" s="15">
        <f t="shared" si="3"/>
        <v>0.32000789734054463</v>
      </c>
      <c r="J4" s="44">
        <f t="shared" si="4"/>
        <v>-1212.0699999998324</v>
      </c>
      <c r="K4" s="43">
        <f t="shared" si="5"/>
        <v>7.8973405446269851E-6</v>
      </c>
    </row>
  </sheetData>
  <conditionalFormatting sqref="J2:K4">
    <cfRule type="cellIs" dxfId="6" priority="1" operator="greaterThan">
      <formula>0</formula>
    </cfRule>
    <cfRule type="cellIs" dxfId="5" priority="2" operator="less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35CDA-04C7-4B17-9772-86438B383A3A}">
  <dimension ref="A1:F11"/>
  <sheetViews>
    <sheetView workbookViewId="0">
      <selection activeCell="E3" sqref="E3"/>
    </sheetView>
  </sheetViews>
  <sheetFormatPr defaultRowHeight="14.4"/>
  <cols>
    <col min="1" max="1" width="10" customWidth="1"/>
    <col min="2" max="2" width="25.109375" bestFit="1" customWidth="1"/>
    <col min="3" max="3" width="13.88671875" bestFit="1" customWidth="1"/>
    <col min="5" max="5" width="17.33203125" customWidth="1"/>
    <col min="6" max="6" width="13.33203125" customWidth="1"/>
  </cols>
  <sheetData>
    <row r="1" spans="1:6">
      <c r="A1" s="7" t="s">
        <v>81</v>
      </c>
      <c r="B1" s="7" t="s">
        <v>82</v>
      </c>
      <c r="C1" s="7" t="s">
        <v>83</v>
      </c>
      <c r="D1" s="7" t="s">
        <v>2</v>
      </c>
      <c r="E1" s="7" t="s">
        <v>84</v>
      </c>
      <c r="F1" s="7" t="s">
        <v>85</v>
      </c>
    </row>
    <row r="2" spans="1:6">
      <c r="A2" t="s">
        <v>86</v>
      </c>
      <c r="B2" t="s">
        <v>87</v>
      </c>
      <c r="C2" t="s">
        <v>88</v>
      </c>
      <c r="D2" t="s">
        <v>28</v>
      </c>
      <c r="E2" t="s">
        <v>89</v>
      </c>
      <c r="F2" t="s">
        <v>90</v>
      </c>
    </row>
    <row r="3" spans="1:6">
      <c r="A3" t="s">
        <v>91</v>
      </c>
      <c r="B3" t="s">
        <v>100</v>
      </c>
      <c r="C3" t="s">
        <v>101</v>
      </c>
      <c r="D3" t="s">
        <v>28</v>
      </c>
      <c r="E3" t="s">
        <v>102</v>
      </c>
      <c r="F3" t="s">
        <v>90</v>
      </c>
    </row>
    <row r="4" spans="1:6">
      <c r="A4" t="s">
        <v>92</v>
      </c>
      <c r="B4" t="s">
        <v>103</v>
      </c>
      <c r="C4" t="s">
        <v>104</v>
      </c>
      <c r="D4" t="s">
        <v>27</v>
      </c>
      <c r="E4" t="s">
        <v>89</v>
      </c>
      <c r="F4" t="s">
        <v>105</v>
      </c>
    </row>
    <row r="5" spans="1:6">
      <c r="A5" t="s">
        <v>93</v>
      </c>
      <c r="B5" t="s">
        <v>106</v>
      </c>
      <c r="C5" t="s">
        <v>107</v>
      </c>
      <c r="D5" t="s">
        <v>27</v>
      </c>
      <c r="E5" t="s">
        <v>108</v>
      </c>
      <c r="F5" t="s">
        <v>105</v>
      </c>
    </row>
    <row r="6" spans="1:6">
      <c r="A6" t="s">
        <v>94</v>
      </c>
      <c r="B6" t="s">
        <v>109</v>
      </c>
      <c r="C6" t="s">
        <v>88</v>
      </c>
      <c r="D6" t="s">
        <v>28</v>
      </c>
      <c r="E6" t="s">
        <v>102</v>
      </c>
      <c r="F6" t="s">
        <v>105</v>
      </c>
    </row>
    <row r="7" spans="1:6">
      <c r="A7" t="s">
        <v>95</v>
      </c>
      <c r="B7" t="s">
        <v>110</v>
      </c>
      <c r="C7" t="s">
        <v>111</v>
      </c>
      <c r="D7" t="s">
        <v>27</v>
      </c>
      <c r="E7" t="s">
        <v>108</v>
      </c>
      <c r="F7" t="s">
        <v>90</v>
      </c>
    </row>
    <row r="8" spans="1:6">
      <c r="A8" t="s">
        <v>96</v>
      </c>
      <c r="B8" t="s">
        <v>112</v>
      </c>
      <c r="C8" t="s">
        <v>113</v>
      </c>
      <c r="D8" t="s">
        <v>28</v>
      </c>
      <c r="E8" t="s">
        <v>89</v>
      </c>
      <c r="F8" t="s">
        <v>105</v>
      </c>
    </row>
    <row r="9" spans="1:6">
      <c r="A9" t="s">
        <v>97</v>
      </c>
      <c r="B9" t="s">
        <v>114</v>
      </c>
      <c r="C9" t="s">
        <v>115</v>
      </c>
      <c r="D9" t="s">
        <v>28</v>
      </c>
      <c r="E9" t="s">
        <v>102</v>
      </c>
      <c r="F9" t="s">
        <v>105</v>
      </c>
    </row>
    <row r="10" spans="1:6">
      <c r="A10" t="s">
        <v>98</v>
      </c>
      <c r="B10" t="s">
        <v>116</v>
      </c>
      <c r="C10" t="s">
        <v>88</v>
      </c>
      <c r="D10" t="s">
        <v>27</v>
      </c>
      <c r="E10" t="s">
        <v>108</v>
      </c>
      <c r="F10" t="s">
        <v>105</v>
      </c>
    </row>
    <row r="11" spans="1:6">
      <c r="A11" t="s">
        <v>99</v>
      </c>
      <c r="B11" t="s">
        <v>117</v>
      </c>
      <c r="C11" t="s">
        <v>118</v>
      </c>
      <c r="D11" t="s">
        <v>29</v>
      </c>
      <c r="E11" t="s">
        <v>102</v>
      </c>
      <c r="F11" t="s">
        <v>90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1B219-1E32-4798-986F-3860DC6A55B7}">
  <dimension ref="A1:O61"/>
  <sheetViews>
    <sheetView topLeftCell="B1" workbookViewId="0">
      <selection activeCell="F14" sqref="F14"/>
    </sheetView>
  </sheetViews>
  <sheetFormatPr defaultRowHeight="14.4"/>
  <cols>
    <col min="1" max="1" width="15" customWidth="1"/>
    <col min="2" max="2" width="10.33203125" bestFit="1" customWidth="1"/>
    <col min="3" max="3" width="10" customWidth="1"/>
    <col min="4" max="4" width="8.44140625" customWidth="1"/>
    <col min="5" max="5" width="11.109375" bestFit="1" customWidth="1"/>
    <col min="6" max="6" width="10.109375" customWidth="1"/>
    <col min="7" max="7" width="13.109375" customWidth="1"/>
    <col min="8" max="8" width="16.6640625" customWidth="1"/>
    <col min="9" max="9" width="19.21875" customWidth="1"/>
    <col min="10" max="10" width="16.6640625" customWidth="1"/>
    <col min="11" max="11" width="7.88671875" customWidth="1"/>
    <col min="12" max="12" width="14.44140625" style="15" customWidth="1"/>
    <col min="13" max="13" width="25.109375" bestFit="1" customWidth="1"/>
    <col min="14" max="14" width="17.88671875" bestFit="1" customWidth="1"/>
    <col min="15" max="15" width="18.109375" bestFit="1" customWidth="1"/>
    <col min="16" max="16" width="15.44140625" bestFit="1" customWidth="1"/>
  </cols>
  <sheetData>
    <row r="1" spans="1:15">
      <c r="A1" s="7" t="s">
        <v>119</v>
      </c>
      <c r="B1" s="7" t="s">
        <v>120</v>
      </c>
      <c r="C1" s="7" t="s">
        <v>121</v>
      </c>
      <c r="D1" s="7" t="s">
        <v>2</v>
      </c>
      <c r="E1" s="7" t="s">
        <v>3</v>
      </c>
      <c r="F1" s="7" t="s">
        <v>122</v>
      </c>
      <c r="G1" s="7" t="s">
        <v>123</v>
      </c>
      <c r="H1" s="7" t="s">
        <v>124</v>
      </c>
      <c r="I1" s="7" t="s">
        <v>125</v>
      </c>
      <c r="J1" s="7" t="s">
        <v>126</v>
      </c>
      <c r="K1" s="7" t="s">
        <v>127</v>
      </c>
      <c r="L1" s="14" t="s">
        <v>128</v>
      </c>
      <c r="M1" s="7" t="s">
        <v>194</v>
      </c>
      <c r="N1" s="7" t="s">
        <v>192</v>
      </c>
      <c r="O1" s="7" t="s">
        <v>193</v>
      </c>
    </row>
    <row r="2" spans="1:15">
      <c r="A2" t="s">
        <v>129</v>
      </c>
      <c r="B2" s="13">
        <v>45672</v>
      </c>
      <c r="C2" t="s">
        <v>86</v>
      </c>
      <c r="D2" t="s">
        <v>28</v>
      </c>
      <c r="E2" t="s">
        <v>189</v>
      </c>
      <c r="F2" s="35">
        <v>120</v>
      </c>
      <c r="G2" s="37">
        <v>45</v>
      </c>
      <c r="H2" s="36">
        <f>Tbl_Ventes[[#This Row],[Quantité]]*Tbl_Ventes[[#This Row],[Prix Unitaire]]</f>
        <v>5400</v>
      </c>
      <c r="I2" s="37">
        <v>32</v>
      </c>
      <c r="J2" s="36">
        <f>Tbl_Ventes[[#This Row],[Quantité]]*Tbl_Ventes[[#This Row],[Coût Unitaire Direct]]</f>
        <v>3840</v>
      </c>
      <c r="K2" s="36">
        <f>Tbl_Ventes[[#This Row],[Chiffre d''Affaires]]-Tbl_Ventes[[#This Row],[Coût Direct Total]]</f>
        <v>1560</v>
      </c>
      <c r="L2" s="15">
        <f>Tbl_Ventes[[#This Row],[Marge]]/Tbl_Ventes[[#This Row],[Chiffre d''Affaires]]</f>
        <v>0.28888888888888886</v>
      </c>
      <c r="M2" t="str">
        <f>_xlfn.XLOOKUP(Tbl_Ventes[[#This Row],[ID Client]],Tbl_Clients[Client ID],Tbl_Clients[Client Name])</f>
        <v>Auvergne Automotive Systems</v>
      </c>
      <c r="N2" t="str">
        <f>_xlfn.XLOOKUP(Tbl_Ventes[[#This Row],[ID Client]],Tbl_Clients[Client ID],Tbl_Clients[Sector])</f>
        <v>Automobile</v>
      </c>
      <c r="O2" t="str">
        <f>_xlfn.XLOOKUP(Tbl_Ventes[[#This Row],[ID Client]],Tbl_Clients[Client ID],Tbl_Clients[Account  Manager])</f>
        <v>Julien Marchand</v>
      </c>
    </row>
    <row r="3" spans="1:15">
      <c r="A3" t="s">
        <v>130</v>
      </c>
      <c r="B3" s="13">
        <v>45675</v>
      </c>
      <c r="C3" t="s">
        <v>91</v>
      </c>
      <c r="D3" t="s">
        <v>28</v>
      </c>
      <c r="E3" t="s">
        <v>190</v>
      </c>
      <c r="F3" s="35">
        <v>60</v>
      </c>
      <c r="G3" s="37">
        <v>110</v>
      </c>
      <c r="H3" s="36">
        <f>Tbl_Ventes[[#This Row],[Quantité]]*Tbl_Ventes[[#This Row],[Prix Unitaire]]</f>
        <v>6600</v>
      </c>
      <c r="I3" s="37">
        <v>78</v>
      </c>
      <c r="J3" s="36">
        <f>Tbl_Ventes[[#This Row],[Quantité]]*Tbl_Ventes[[#This Row],[Coût Unitaire Direct]]</f>
        <v>4680</v>
      </c>
      <c r="K3" s="36">
        <f>Tbl_Ventes[[#This Row],[Chiffre d''Affaires]]-Tbl_Ventes[[#This Row],[Coût Direct Total]]</f>
        <v>1920</v>
      </c>
      <c r="L3" s="15">
        <f>Tbl_Ventes[[#This Row],[Marge]]/Tbl_Ventes[[#This Row],[Chiffre d''Affaires]]</f>
        <v>0.29090909090909089</v>
      </c>
      <c r="M3" t="str">
        <f>_xlfn.XLOOKUP(Tbl_Ventes[[#This Row],[ID Client]],Tbl_Clients[Client ID],Tbl_Clients[Client Name])</f>
        <v>Rhône Aérostructures</v>
      </c>
      <c r="N3" t="str">
        <f>_xlfn.XLOOKUP(Tbl_Ventes[[#This Row],[ID Client]],Tbl_Clients[Client ID],Tbl_Clients[Sector])</f>
        <v>Aéronautique</v>
      </c>
      <c r="O3" t="str">
        <f>_xlfn.XLOOKUP(Tbl_Ventes[[#This Row],[ID Client]],Tbl_Clients[Client ID],Tbl_Clients[Account  Manager])</f>
        <v>Camille Dubois</v>
      </c>
    </row>
    <row r="4" spans="1:15">
      <c r="A4" t="s">
        <v>131</v>
      </c>
      <c r="B4" s="13">
        <v>45679</v>
      </c>
      <c r="C4" t="s">
        <v>92</v>
      </c>
      <c r="D4" t="s">
        <v>27</v>
      </c>
      <c r="E4" t="s">
        <v>191</v>
      </c>
      <c r="F4" s="35">
        <v>200</v>
      </c>
      <c r="G4" s="37">
        <v>18</v>
      </c>
      <c r="H4" s="36">
        <f>Tbl_Ventes[[#This Row],[Quantité]]*Tbl_Ventes[[#This Row],[Prix Unitaire]]</f>
        <v>3600</v>
      </c>
      <c r="I4" s="37">
        <v>13</v>
      </c>
      <c r="J4" s="36">
        <f>Tbl_Ventes[[#This Row],[Quantité]]*Tbl_Ventes[[#This Row],[Coût Unitaire Direct]]</f>
        <v>2600</v>
      </c>
      <c r="K4" s="36">
        <f>Tbl_Ventes[[#This Row],[Chiffre d''Affaires]]-Tbl_Ventes[[#This Row],[Coût Direct Total]]</f>
        <v>1000</v>
      </c>
      <c r="L4" s="15">
        <f>Tbl_Ventes[[#This Row],[Marge]]/Tbl_Ventes[[#This Row],[Chiffre d''Affaires]]</f>
        <v>0.27777777777777779</v>
      </c>
      <c r="M4" t="str">
        <f>_xlfn.XLOOKUP(Tbl_Ventes[[#This Row],[ID Client]],Tbl_Clients[Client ID],Tbl_Clients[Client Name])</f>
        <v>Norbatir Industries</v>
      </c>
      <c r="N4" t="str">
        <f>_xlfn.XLOOKUP(Tbl_Ventes[[#This Row],[ID Client]],Tbl_Clients[Client ID],Tbl_Clients[Sector])</f>
        <v>BTP</v>
      </c>
      <c r="O4" t="str">
        <f>_xlfn.XLOOKUP(Tbl_Ventes[[#This Row],[ID Client]],Tbl_Clients[Client ID],Tbl_Clients[Account  Manager])</f>
        <v>Julien Marchand</v>
      </c>
    </row>
    <row r="5" spans="1:15">
      <c r="A5" t="s">
        <v>132</v>
      </c>
      <c r="B5" s="13">
        <v>45682</v>
      </c>
      <c r="C5" t="s">
        <v>93</v>
      </c>
      <c r="D5" t="s">
        <v>27</v>
      </c>
      <c r="E5" t="s">
        <v>189</v>
      </c>
      <c r="F5" s="35">
        <v>90</v>
      </c>
      <c r="G5" s="37">
        <v>45</v>
      </c>
      <c r="H5" s="36">
        <f>Tbl_Ventes[[#This Row],[Quantité]]*Tbl_Ventes[[#This Row],[Prix Unitaire]]</f>
        <v>4050</v>
      </c>
      <c r="I5" s="37">
        <v>33</v>
      </c>
      <c r="J5" s="36">
        <f>Tbl_Ventes[[#This Row],[Quantité]]*Tbl_Ventes[[#This Row],[Coût Unitaire Direct]]</f>
        <v>2970</v>
      </c>
      <c r="K5" s="36">
        <f>Tbl_Ventes[[#This Row],[Chiffre d''Affaires]]-Tbl_Ventes[[#This Row],[Coût Direct Total]]</f>
        <v>1080</v>
      </c>
      <c r="L5" s="15">
        <f>Tbl_Ventes[[#This Row],[Marge]]/Tbl_Ventes[[#This Row],[Chiffre d''Affaires]]</f>
        <v>0.26666666666666666</v>
      </c>
      <c r="M5" t="str">
        <f>_xlfn.XLOOKUP(Tbl_Ventes[[#This Row],[ID Client]],Tbl_Clients[Client ID],Tbl_Clients[Client Name])</f>
        <v>ElectroPlast SA</v>
      </c>
      <c r="N5" t="str">
        <f>_xlfn.XLOOKUP(Tbl_Ventes[[#This Row],[ID Client]],Tbl_Clients[Client ID],Tbl_Clients[Sector])</f>
        <v>Électroménager</v>
      </c>
      <c r="O5" t="str">
        <f>_xlfn.XLOOKUP(Tbl_Ventes[[#This Row],[ID Client]],Tbl_Clients[Client ID],Tbl_Clients[Account  Manager])</f>
        <v>Sophie Lenoir</v>
      </c>
    </row>
    <row r="6" spans="1:15">
      <c r="A6" t="s">
        <v>133</v>
      </c>
      <c r="B6" s="13">
        <v>45685</v>
      </c>
      <c r="C6" t="s">
        <v>94</v>
      </c>
      <c r="D6" t="s">
        <v>28</v>
      </c>
      <c r="E6" t="s">
        <v>190</v>
      </c>
      <c r="F6" s="35">
        <v>45</v>
      </c>
      <c r="G6" s="37">
        <v>108</v>
      </c>
      <c r="H6" s="36">
        <f>Tbl_Ventes[[#This Row],[Quantité]]*Tbl_Ventes[[#This Row],[Prix Unitaire]]</f>
        <v>4860</v>
      </c>
      <c r="I6" s="37">
        <v>75</v>
      </c>
      <c r="J6" s="36">
        <f>Tbl_Ventes[[#This Row],[Quantité]]*Tbl_Ventes[[#This Row],[Coût Unitaire Direct]]</f>
        <v>3375</v>
      </c>
      <c r="K6" s="36">
        <f>Tbl_Ventes[[#This Row],[Chiffre d''Affaires]]-Tbl_Ventes[[#This Row],[Coût Direct Total]]</f>
        <v>1485</v>
      </c>
      <c r="L6" s="15">
        <f>Tbl_Ventes[[#This Row],[Marge]]/Tbl_Ventes[[#This Row],[Chiffre d''Affaires]]</f>
        <v>0.30555555555555558</v>
      </c>
      <c r="M6" t="str">
        <f>_xlfn.XLOOKUP(Tbl_Ventes[[#This Row],[ID Client]],Tbl_Clients[Client ID],Tbl_Clients[Client Name])</f>
        <v>Dauphiné Composants</v>
      </c>
      <c r="N6" t="str">
        <f>_xlfn.XLOOKUP(Tbl_Ventes[[#This Row],[ID Client]],Tbl_Clients[Client ID],Tbl_Clients[Sector])</f>
        <v>Automobile</v>
      </c>
      <c r="O6" t="str">
        <f>_xlfn.XLOOKUP(Tbl_Ventes[[#This Row],[ID Client]],Tbl_Clients[Client ID],Tbl_Clients[Account  Manager])</f>
        <v>Camille Dubois</v>
      </c>
    </row>
    <row r="7" spans="1:15">
      <c r="A7" t="s">
        <v>134</v>
      </c>
      <c r="B7" s="13">
        <v>45690</v>
      </c>
      <c r="C7" t="s">
        <v>95</v>
      </c>
      <c r="D7" t="s">
        <v>27</v>
      </c>
      <c r="E7" t="s">
        <v>191</v>
      </c>
      <c r="F7" s="35">
        <v>150</v>
      </c>
      <c r="G7" s="37">
        <v>19</v>
      </c>
      <c r="H7" s="36">
        <f>Tbl_Ventes[[#This Row],[Quantité]]*Tbl_Ventes[[#This Row],[Prix Unitaire]]</f>
        <v>2850</v>
      </c>
      <c r="I7" s="37">
        <v>12</v>
      </c>
      <c r="J7" s="36">
        <f>Tbl_Ventes[[#This Row],[Quantité]]*Tbl_Ventes[[#This Row],[Coût Unitaire Direct]]</f>
        <v>1800</v>
      </c>
      <c r="K7" s="36">
        <f>Tbl_Ventes[[#This Row],[Chiffre d''Affaires]]-Tbl_Ventes[[#This Row],[Coût Direct Total]]</f>
        <v>1050</v>
      </c>
      <c r="L7" s="15">
        <f>Tbl_Ventes[[#This Row],[Marge]]/Tbl_Ventes[[#This Row],[Chiffre d''Affaires]]</f>
        <v>0.36842105263157893</v>
      </c>
      <c r="M7" t="str">
        <f>_xlfn.XLOOKUP(Tbl_Ventes[[#This Row],[ID Client]],Tbl_Clients[Client ID],Tbl_Clients[Client Name])</f>
        <v>Nortec Machines</v>
      </c>
      <c r="N7" t="str">
        <f>_xlfn.XLOOKUP(Tbl_Ventes[[#This Row],[ID Client]],Tbl_Clients[Client ID],Tbl_Clients[Sector])</f>
        <v>Machines-outils</v>
      </c>
      <c r="O7" t="str">
        <f>_xlfn.XLOOKUP(Tbl_Ventes[[#This Row],[ID Client]],Tbl_Clients[Client ID],Tbl_Clients[Account  Manager])</f>
        <v>Sophie Lenoir</v>
      </c>
    </row>
    <row r="8" spans="1:15">
      <c r="A8" t="s">
        <v>135</v>
      </c>
      <c r="B8" s="13">
        <v>45693</v>
      </c>
      <c r="C8" t="s">
        <v>96</v>
      </c>
      <c r="D8" t="s">
        <v>28</v>
      </c>
      <c r="E8" t="s">
        <v>189</v>
      </c>
      <c r="F8" s="35">
        <v>110</v>
      </c>
      <c r="G8" s="37">
        <v>44</v>
      </c>
      <c r="H8" s="36">
        <f>Tbl_Ventes[[#This Row],[Quantité]]*Tbl_Ventes[[#This Row],[Prix Unitaire]]</f>
        <v>4840</v>
      </c>
      <c r="I8" s="37">
        <v>31</v>
      </c>
      <c r="J8" s="36">
        <f>Tbl_Ventes[[#This Row],[Quantité]]*Tbl_Ventes[[#This Row],[Coût Unitaire Direct]]</f>
        <v>3410</v>
      </c>
      <c r="K8" s="36">
        <f>Tbl_Ventes[[#This Row],[Chiffre d''Affaires]]-Tbl_Ventes[[#This Row],[Coût Direct Total]]</f>
        <v>1430</v>
      </c>
      <c r="L8" s="15">
        <f>Tbl_Ventes[[#This Row],[Marge]]/Tbl_Ventes[[#This Row],[Chiffre d''Affaires]]</f>
        <v>0.29545454545454547</v>
      </c>
      <c r="M8" t="str">
        <f>_xlfn.XLOOKUP(Tbl_Ventes[[#This Row],[ID Client]],Tbl_Clients[Client ID],Tbl_Clients[Client Name])</f>
        <v>Alpina Métallurgie</v>
      </c>
      <c r="N8" t="str">
        <f>_xlfn.XLOOKUP(Tbl_Ventes[[#This Row],[ID Client]],Tbl_Clients[Client ID],Tbl_Clients[Sector])</f>
        <v>Métallurgie</v>
      </c>
      <c r="O8" t="str">
        <f>_xlfn.XLOOKUP(Tbl_Ventes[[#This Row],[ID Client]],Tbl_Clients[Client ID],Tbl_Clients[Account  Manager])</f>
        <v>Julien Marchand</v>
      </c>
    </row>
    <row r="9" spans="1:15">
      <c r="A9" t="s">
        <v>136</v>
      </c>
      <c r="B9" s="13">
        <v>45696</v>
      </c>
      <c r="C9" t="s">
        <v>97</v>
      </c>
      <c r="D9" t="s">
        <v>28</v>
      </c>
      <c r="E9" t="s">
        <v>190</v>
      </c>
      <c r="F9" s="35">
        <v>55</v>
      </c>
      <c r="G9" s="37">
        <v>112</v>
      </c>
      <c r="H9" s="36">
        <f>Tbl_Ventes[[#This Row],[Quantité]]*Tbl_Ventes[[#This Row],[Prix Unitaire]]</f>
        <v>6160</v>
      </c>
      <c r="I9" s="37">
        <v>80</v>
      </c>
      <c r="J9" s="36">
        <f>Tbl_Ventes[[#This Row],[Quantité]]*Tbl_Ventes[[#This Row],[Coût Unitaire Direct]]</f>
        <v>4400</v>
      </c>
      <c r="K9" s="36">
        <f>Tbl_Ventes[[#This Row],[Chiffre d''Affaires]]-Tbl_Ventes[[#This Row],[Coût Direct Total]]</f>
        <v>1760</v>
      </c>
      <c r="L9" s="15">
        <f>Tbl_Ventes[[#This Row],[Marge]]/Tbl_Ventes[[#This Row],[Chiffre d''Affaires]]</f>
        <v>0.2857142857142857</v>
      </c>
      <c r="M9" t="str">
        <f>_xlfn.XLOOKUP(Tbl_Ventes[[#This Row],[ID Client]],Tbl_Clients[Client ID],Tbl_Clients[Client Name])</f>
        <v>Lyonnaise Câblage</v>
      </c>
      <c r="N9" t="str">
        <f>_xlfn.XLOOKUP(Tbl_Ventes[[#This Row],[ID Client]],Tbl_Clients[Client ID],Tbl_Clients[Sector])</f>
        <v>Électronique</v>
      </c>
      <c r="O9" t="str">
        <f>_xlfn.XLOOKUP(Tbl_Ventes[[#This Row],[ID Client]],Tbl_Clients[Client ID],Tbl_Clients[Account  Manager])</f>
        <v>Camille Dubois</v>
      </c>
    </row>
    <row r="10" spans="1:15">
      <c r="A10" t="s">
        <v>137</v>
      </c>
      <c r="B10" s="13">
        <v>45699</v>
      </c>
      <c r="C10" t="s">
        <v>98</v>
      </c>
      <c r="D10" t="s">
        <v>27</v>
      </c>
      <c r="E10" t="s">
        <v>191</v>
      </c>
      <c r="F10" s="35">
        <v>180</v>
      </c>
      <c r="G10" s="37">
        <v>18</v>
      </c>
      <c r="H10" s="36">
        <f>Tbl_Ventes[[#This Row],[Quantité]]*Tbl_Ventes[[#This Row],[Prix Unitaire]]</f>
        <v>3240</v>
      </c>
      <c r="I10" s="37">
        <v>14</v>
      </c>
      <c r="J10" s="36">
        <f>Tbl_Ventes[[#This Row],[Quantité]]*Tbl_Ventes[[#This Row],[Coût Unitaire Direct]]</f>
        <v>2520</v>
      </c>
      <c r="K10" s="36">
        <f>Tbl_Ventes[[#This Row],[Chiffre d''Affaires]]-Tbl_Ventes[[#This Row],[Coût Direct Total]]</f>
        <v>720</v>
      </c>
      <c r="L10" s="15">
        <f>Tbl_Ventes[[#This Row],[Marge]]/Tbl_Ventes[[#This Row],[Chiffre d''Affaires]]</f>
        <v>0.22222222222222221</v>
      </c>
      <c r="M10" t="str">
        <f>_xlfn.XLOOKUP(Tbl_Ventes[[#This Row],[ID Client]],Tbl_Clients[Client ID],Tbl_Clients[Client Name])</f>
        <v>Picardie Assemblage</v>
      </c>
      <c r="N10" t="str">
        <f>_xlfn.XLOOKUP(Tbl_Ventes[[#This Row],[ID Client]],Tbl_Clients[Client ID],Tbl_Clients[Sector])</f>
        <v>Automobile</v>
      </c>
      <c r="O10" t="str">
        <f>_xlfn.XLOOKUP(Tbl_Ventes[[#This Row],[ID Client]],Tbl_Clients[Client ID],Tbl_Clients[Account  Manager])</f>
        <v>Sophie Lenoir</v>
      </c>
    </row>
    <row r="11" spans="1:15">
      <c r="A11" t="s">
        <v>138</v>
      </c>
      <c r="B11" s="13">
        <v>45702</v>
      </c>
      <c r="C11" t="s">
        <v>99</v>
      </c>
      <c r="D11" t="s">
        <v>29</v>
      </c>
      <c r="E11" t="s">
        <v>189</v>
      </c>
      <c r="F11" s="35">
        <v>200</v>
      </c>
      <c r="G11" s="37">
        <v>47</v>
      </c>
      <c r="H11" s="36">
        <f>Tbl_Ventes[[#This Row],[Quantité]]*Tbl_Ventes[[#This Row],[Prix Unitaire]]</f>
        <v>9400</v>
      </c>
      <c r="I11" s="37">
        <v>34</v>
      </c>
      <c r="J11" s="36">
        <f>Tbl_Ventes[[#This Row],[Quantité]]*Tbl_Ventes[[#This Row],[Coût Unitaire Direct]]</f>
        <v>6800</v>
      </c>
      <c r="K11" s="36">
        <f>Tbl_Ventes[[#This Row],[Chiffre d''Affaires]]-Tbl_Ventes[[#This Row],[Coût Direct Total]]</f>
        <v>2600</v>
      </c>
      <c r="L11" s="15">
        <f>Tbl_Ventes[[#This Row],[Marge]]/Tbl_Ventes[[#This Row],[Chiffre d''Affaires]]</f>
        <v>0.27659574468085107</v>
      </c>
      <c r="M11" t="str">
        <f>_xlfn.XLOOKUP(Tbl_Ventes[[#This Row],[ID Client]],Tbl_Clients[Client ID],Tbl_Clients[Client Name])</f>
        <v>Global Export Partners</v>
      </c>
      <c r="N11" t="str">
        <f>_xlfn.XLOOKUP(Tbl_Ventes[[#This Row],[ID Client]],Tbl_Clients[Client ID],Tbl_Clients[Sector])</f>
        <v>Négoce international</v>
      </c>
      <c r="O11" t="str">
        <f>_xlfn.XLOOKUP(Tbl_Ventes[[#This Row],[ID Client]],Tbl_Clients[Client ID],Tbl_Clients[Account  Manager])</f>
        <v>Camille Dubois</v>
      </c>
    </row>
    <row r="12" spans="1:15">
      <c r="A12" t="s">
        <v>139</v>
      </c>
      <c r="B12" s="13">
        <v>45706</v>
      </c>
      <c r="C12" t="s">
        <v>86</v>
      </c>
      <c r="D12" t="s">
        <v>28</v>
      </c>
      <c r="E12" t="s">
        <v>190</v>
      </c>
      <c r="F12" s="35">
        <v>70</v>
      </c>
      <c r="G12" s="37">
        <v>109</v>
      </c>
      <c r="H12" s="36">
        <f>Tbl_Ventes[[#This Row],[Quantité]]*Tbl_Ventes[[#This Row],[Prix Unitaire]]</f>
        <v>7630</v>
      </c>
      <c r="I12" s="37">
        <v>76</v>
      </c>
      <c r="J12" s="36">
        <f>Tbl_Ventes[[#This Row],[Quantité]]*Tbl_Ventes[[#This Row],[Coût Unitaire Direct]]</f>
        <v>5320</v>
      </c>
      <c r="K12" s="36">
        <f>Tbl_Ventes[[#This Row],[Chiffre d''Affaires]]-Tbl_Ventes[[#This Row],[Coût Direct Total]]</f>
        <v>2310</v>
      </c>
      <c r="L12" s="15">
        <f>Tbl_Ventes[[#This Row],[Marge]]/Tbl_Ventes[[#This Row],[Chiffre d''Affaires]]</f>
        <v>0.30275229357798167</v>
      </c>
      <c r="M12" t="str">
        <f>_xlfn.XLOOKUP(Tbl_Ventes[[#This Row],[ID Client]],Tbl_Clients[Client ID],Tbl_Clients[Client Name])</f>
        <v>Auvergne Automotive Systems</v>
      </c>
      <c r="N12" t="str">
        <f>_xlfn.XLOOKUP(Tbl_Ventes[[#This Row],[ID Client]],Tbl_Clients[Client ID],Tbl_Clients[Sector])</f>
        <v>Automobile</v>
      </c>
      <c r="O12" t="str">
        <f>_xlfn.XLOOKUP(Tbl_Ventes[[#This Row],[ID Client]],Tbl_Clients[Client ID],Tbl_Clients[Account  Manager])</f>
        <v>Julien Marchand</v>
      </c>
    </row>
    <row r="13" spans="1:15">
      <c r="A13" t="s">
        <v>140</v>
      </c>
      <c r="B13" s="13">
        <v>45709</v>
      </c>
      <c r="C13" t="s">
        <v>91</v>
      </c>
      <c r="D13" t="s">
        <v>28</v>
      </c>
      <c r="E13" t="s">
        <v>191</v>
      </c>
      <c r="F13" s="35">
        <v>160</v>
      </c>
      <c r="G13" s="37">
        <v>18</v>
      </c>
      <c r="H13" s="36">
        <f>Tbl_Ventes[[#This Row],[Quantité]]*Tbl_Ventes[[#This Row],[Prix Unitaire]]</f>
        <v>2880</v>
      </c>
      <c r="I13" s="37">
        <v>13</v>
      </c>
      <c r="J13" s="36">
        <f>Tbl_Ventes[[#This Row],[Quantité]]*Tbl_Ventes[[#This Row],[Coût Unitaire Direct]]</f>
        <v>2080</v>
      </c>
      <c r="K13" s="36">
        <f>Tbl_Ventes[[#This Row],[Chiffre d''Affaires]]-Tbl_Ventes[[#This Row],[Coût Direct Total]]</f>
        <v>800</v>
      </c>
      <c r="L13" s="15">
        <f>Tbl_Ventes[[#This Row],[Marge]]/Tbl_Ventes[[#This Row],[Chiffre d''Affaires]]</f>
        <v>0.27777777777777779</v>
      </c>
      <c r="M13" t="str">
        <f>_xlfn.XLOOKUP(Tbl_Ventes[[#This Row],[ID Client]],Tbl_Clients[Client ID],Tbl_Clients[Client Name])</f>
        <v>Rhône Aérostructures</v>
      </c>
      <c r="N13" t="str">
        <f>_xlfn.XLOOKUP(Tbl_Ventes[[#This Row],[ID Client]],Tbl_Clients[Client ID],Tbl_Clients[Sector])</f>
        <v>Aéronautique</v>
      </c>
      <c r="O13" t="str">
        <f>_xlfn.XLOOKUP(Tbl_Ventes[[#This Row],[ID Client]],Tbl_Clients[Client ID],Tbl_Clients[Account  Manager])</f>
        <v>Camille Dubois</v>
      </c>
    </row>
    <row r="14" spans="1:15">
      <c r="A14" t="s">
        <v>141</v>
      </c>
      <c r="B14" s="13">
        <v>45712</v>
      </c>
      <c r="C14" t="s">
        <v>92</v>
      </c>
      <c r="D14" t="s">
        <v>27</v>
      </c>
      <c r="E14" t="s">
        <v>189</v>
      </c>
      <c r="F14" s="35">
        <v>95</v>
      </c>
      <c r="G14" s="37">
        <v>45</v>
      </c>
      <c r="H14" s="36">
        <f>Tbl_Ventes[[#This Row],[Quantité]]*Tbl_Ventes[[#This Row],[Prix Unitaire]]</f>
        <v>4275</v>
      </c>
      <c r="I14" s="37">
        <v>32</v>
      </c>
      <c r="J14" s="36">
        <f>Tbl_Ventes[[#This Row],[Quantité]]*Tbl_Ventes[[#This Row],[Coût Unitaire Direct]]</f>
        <v>3040</v>
      </c>
      <c r="K14" s="36">
        <f>Tbl_Ventes[[#This Row],[Chiffre d''Affaires]]-Tbl_Ventes[[#This Row],[Coût Direct Total]]</f>
        <v>1235</v>
      </c>
      <c r="L14" s="15">
        <f>Tbl_Ventes[[#This Row],[Marge]]/Tbl_Ventes[[#This Row],[Chiffre d''Affaires]]</f>
        <v>0.28888888888888886</v>
      </c>
      <c r="M14" t="str">
        <f>_xlfn.XLOOKUP(Tbl_Ventes[[#This Row],[ID Client]],Tbl_Clients[Client ID],Tbl_Clients[Client Name])</f>
        <v>Norbatir Industries</v>
      </c>
      <c r="N14" t="str">
        <f>_xlfn.XLOOKUP(Tbl_Ventes[[#This Row],[ID Client]],Tbl_Clients[Client ID],Tbl_Clients[Sector])</f>
        <v>BTP</v>
      </c>
      <c r="O14" t="str">
        <f>_xlfn.XLOOKUP(Tbl_Ventes[[#This Row],[ID Client]],Tbl_Clients[Client ID],Tbl_Clients[Account  Manager])</f>
        <v>Julien Marchand</v>
      </c>
    </row>
    <row r="15" spans="1:15">
      <c r="A15" t="s">
        <v>142</v>
      </c>
      <c r="B15" s="13">
        <v>45715</v>
      </c>
      <c r="C15" t="s">
        <v>93</v>
      </c>
      <c r="D15" t="s">
        <v>27</v>
      </c>
      <c r="E15" t="s">
        <v>190</v>
      </c>
      <c r="F15" s="35">
        <v>50</v>
      </c>
      <c r="G15" s="37">
        <v>110</v>
      </c>
      <c r="H15" s="36">
        <f>Tbl_Ventes[[#This Row],[Quantité]]*Tbl_Ventes[[#This Row],[Prix Unitaire]]</f>
        <v>5500</v>
      </c>
      <c r="I15" s="37">
        <v>79</v>
      </c>
      <c r="J15" s="36">
        <f>Tbl_Ventes[[#This Row],[Quantité]]*Tbl_Ventes[[#This Row],[Coût Unitaire Direct]]</f>
        <v>3950</v>
      </c>
      <c r="K15" s="36">
        <f>Tbl_Ventes[[#This Row],[Chiffre d''Affaires]]-Tbl_Ventes[[#This Row],[Coût Direct Total]]</f>
        <v>1550</v>
      </c>
      <c r="L15" s="15">
        <f>Tbl_Ventes[[#This Row],[Marge]]/Tbl_Ventes[[#This Row],[Chiffre d''Affaires]]</f>
        <v>0.2818181818181818</v>
      </c>
      <c r="M15" t="str">
        <f>_xlfn.XLOOKUP(Tbl_Ventes[[#This Row],[ID Client]],Tbl_Clients[Client ID],Tbl_Clients[Client Name])</f>
        <v>ElectroPlast SA</v>
      </c>
      <c r="N15" t="str">
        <f>_xlfn.XLOOKUP(Tbl_Ventes[[#This Row],[ID Client]],Tbl_Clients[Client ID],Tbl_Clients[Sector])</f>
        <v>Électroménager</v>
      </c>
      <c r="O15" t="str">
        <f>_xlfn.XLOOKUP(Tbl_Ventes[[#This Row],[ID Client]],Tbl_Clients[Client ID],Tbl_Clients[Account  Manager])</f>
        <v>Sophie Lenoir</v>
      </c>
    </row>
    <row r="16" spans="1:15">
      <c r="A16" t="s">
        <v>143</v>
      </c>
      <c r="B16" s="13">
        <v>45718</v>
      </c>
      <c r="C16" t="s">
        <v>94</v>
      </c>
      <c r="D16" t="s">
        <v>28</v>
      </c>
      <c r="E16" t="s">
        <v>191</v>
      </c>
      <c r="F16" s="35">
        <v>140</v>
      </c>
      <c r="G16" s="37">
        <v>19</v>
      </c>
      <c r="H16" s="36">
        <f>Tbl_Ventes[[#This Row],[Quantité]]*Tbl_Ventes[[#This Row],[Prix Unitaire]]</f>
        <v>2660</v>
      </c>
      <c r="I16" s="37">
        <v>12</v>
      </c>
      <c r="J16" s="36">
        <f>Tbl_Ventes[[#This Row],[Quantité]]*Tbl_Ventes[[#This Row],[Coût Unitaire Direct]]</f>
        <v>1680</v>
      </c>
      <c r="K16" s="36">
        <f>Tbl_Ventes[[#This Row],[Chiffre d''Affaires]]-Tbl_Ventes[[#This Row],[Coût Direct Total]]</f>
        <v>980</v>
      </c>
      <c r="L16" s="15">
        <f>Tbl_Ventes[[#This Row],[Marge]]/Tbl_Ventes[[#This Row],[Chiffre d''Affaires]]</f>
        <v>0.36842105263157893</v>
      </c>
      <c r="M16" t="str">
        <f>_xlfn.XLOOKUP(Tbl_Ventes[[#This Row],[ID Client]],Tbl_Clients[Client ID],Tbl_Clients[Client Name])</f>
        <v>Dauphiné Composants</v>
      </c>
      <c r="N16" t="str">
        <f>_xlfn.XLOOKUP(Tbl_Ventes[[#This Row],[ID Client]],Tbl_Clients[Client ID],Tbl_Clients[Sector])</f>
        <v>Automobile</v>
      </c>
      <c r="O16" t="str">
        <f>_xlfn.XLOOKUP(Tbl_Ventes[[#This Row],[ID Client]],Tbl_Clients[Client ID],Tbl_Clients[Account  Manager])</f>
        <v>Camille Dubois</v>
      </c>
    </row>
    <row r="17" spans="1:15">
      <c r="A17" t="s">
        <v>144</v>
      </c>
      <c r="B17" s="13">
        <v>45721</v>
      </c>
      <c r="C17" t="s">
        <v>95</v>
      </c>
      <c r="D17" t="s">
        <v>27</v>
      </c>
      <c r="E17" t="s">
        <v>189</v>
      </c>
      <c r="F17" s="35">
        <v>130</v>
      </c>
      <c r="G17" s="37">
        <v>44</v>
      </c>
      <c r="H17" s="36">
        <f>Tbl_Ventes[[#This Row],[Quantité]]*Tbl_Ventes[[#This Row],[Prix Unitaire]]</f>
        <v>5720</v>
      </c>
      <c r="I17" s="37">
        <v>31</v>
      </c>
      <c r="J17" s="36">
        <f>Tbl_Ventes[[#This Row],[Quantité]]*Tbl_Ventes[[#This Row],[Coût Unitaire Direct]]</f>
        <v>4030</v>
      </c>
      <c r="K17" s="36">
        <f>Tbl_Ventes[[#This Row],[Chiffre d''Affaires]]-Tbl_Ventes[[#This Row],[Coût Direct Total]]</f>
        <v>1690</v>
      </c>
      <c r="L17" s="15">
        <f>Tbl_Ventes[[#This Row],[Marge]]/Tbl_Ventes[[#This Row],[Chiffre d''Affaires]]</f>
        <v>0.29545454545454547</v>
      </c>
      <c r="M17" t="str">
        <f>_xlfn.XLOOKUP(Tbl_Ventes[[#This Row],[ID Client]],Tbl_Clients[Client ID],Tbl_Clients[Client Name])</f>
        <v>Nortec Machines</v>
      </c>
      <c r="N17" t="str">
        <f>_xlfn.XLOOKUP(Tbl_Ventes[[#This Row],[ID Client]],Tbl_Clients[Client ID],Tbl_Clients[Sector])</f>
        <v>Machines-outils</v>
      </c>
      <c r="O17" t="str">
        <f>_xlfn.XLOOKUP(Tbl_Ventes[[#This Row],[ID Client]],Tbl_Clients[Client ID],Tbl_Clients[Account  Manager])</f>
        <v>Sophie Lenoir</v>
      </c>
    </row>
    <row r="18" spans="1:15">
      <c r="A18" t="s">
        <v>145</v>
      </c>
      <c r="B18" s="13">
        <v>45724</v>
      </c>
      <c r="C18" t="s">
        <v>96</v>
      </c>
      <c r="D18" t="s">
        <v>28</v>
      </c>
      <c r="E18" t="s">
        <v>190</v>
      </c>
      <c r="F18" s="35">
        <v>65</v>
      </c>
      <c r="G18" s="37">
        <v>111</v>
      </c>
      <c r="H18" s="36">
        <f>Tbl_Ventes[[#This Row],[Quantité]]*Tbl_Ventes[[#This Row],[Prix Unitaire]]</f>
        <v>7215</v>
      </c>
      <c r="I18" s="37">
        <v>77</v>
      </c>
      <c r="J18" s="36">
        <f>Tbl_Ventes[[#This Row],[Quantité]]*Tbl_Ventes[[#This Row],[Coût Unitaire Direct]]</f>
        <v>5005</v>
      </c>
      <c r="K18" s="36">
        <f>Tbl_Ventes[[#This Row],[Chiffre d''Affaires]]-Tbl_Ventes[[#This Row],[Coût Direct Total]]</f>
        <v>2210</v>
      </c>
      <c r="L18" s="15">
        <f>Tbl_Ventes[[#This Row],[Marge]]/Tbl_Ventes[[#This Row],[Chiffre d''Affaires]]</f>
        <v>0.30630630630630629</v>
      </c>
      <c r="M18" t="str">
        <f>_xlfn.XLOOKUP(Tbl_Ventes[[#This Row],[ID Client]],Tbl_Clients[Client ID],Tbl_Clients[Client Name])</f>
        <v>Alpina Métallurgie</v>
      </c>
      <c r="N18" t="str">
        <f>_xlfn.XLOOKUP(Tbl_Ventes[[#This Row],[ID Client]],Tbl_Clients[Client ID],Tbl_Clients[Sector])</f>
        <v>Métallurgie</v>
      </c>
      <c r="O18" t="str">
        <f>_xlfn.XLOOKUP(Tbl_Ventes[[#This Row],[ID Client]],Tbl_Clients[Client ID],Tbl_Clients[Account  Manager])</f>
        <v>Julien Marchand</v>
      </c>
    </row>
    <row r="19" spans="1:15">
      <c r="A19" t="s">
        <v>146</v>
      </c>
      <c r="B19" s="13">
        <v>45727</v>
      </c>
      <c r="C19" t="s">
        <v>97</v>
      </c>
      <c r="D19" t="s">
        <v>28</v>
      </c>
      <c r="E19" t="s">
        <v>191</v>
      </c>
      <c r="F19" s="35">
        <v>190</v>
      </c>
      <c r="G19" s="37">
        <v>18</v>
      </c>
      <c r="H19" s="36">
        <f>Tbl_Ventes[[#This Row],[Quantité]]*Tbl_Ventes[[#This Row],[Prix Unitaire]]</f>
        <v>3420</v>
      </c>
      <c r="I19" s="37">
        <v>13</v>
      </c>
      <c r="J19" s="36">
        <f>Tbl_Ventes[[#This Row],[Quantité]]*Tbl_Ventes[[#This Row],[Coût Unitaire Direct]]</f>
        <v>2470</v>
      </c>
      <c r="K19" s="36">
        <f>Tbl_Ventes[[#This Row],[Chiffre d''Affaires]]-Tbl_Ventes[[#This Row],[Coût Direct Total]]</f>
        <v>950</v>
      </c>
      <c r="L19" s="15">
        <f>Tbl_Ventes[[#This Row],[Marge]]/Tbl_Ventes[[#This Row],[Chiffre d''Affaires]]</f>
        <v>0.27777777777777779</v>
      </c>
      <c r="M19" t="str">
        <f>_xlfn.XLOOKUP(Tbl_Ventes[[#This Row],[ID Client]],Tbl_Clients[Client ID],Tbl_Clients[Client Name])</f>
        <v>Lyonnaise Câblage</v>
      </c>
      <c r="N19" t="str">
        <f>_xlfn.XLOOKUP(Tbl_Ventes[[#This Row],[ID Client]],Tbl_Clients[Client ID],Tbl_Clients[Sector])</f>
        <v>Électronique</v>
      </c>
      <c r="O19" t="str">
        <f>_xlfn.XLOOKUP(Tbl_Ventes[[#This Row],[ID Client]],Tbl_Clients[Client ID],Tbl_Clients[Account  Manager])</f>
        <v>Camille Dubois</v>
      </c>
    </row>
    <row r="20" spans="1:15">
      <c r="A20" t="s">
        <v>147</v>
      </c>
      <c r="B20" s="13">
        <v>45730</v>
      </c>
      <c r="C20" t="s">
        <v>98</v>
      </c>
      <c r="D20" t="s">
        <v>27</v>
      </c>
      <c r="E20" t="s">
        <v>189</v>
      </c>
      <c r="F20" s="35">
        <v>100</v>
      </c>
      <c r="G20" s="37">
        <v>45</v>
      </c>
      <c r="H20" s="36">
        <f>Tbl_Ventes[[#This Row],[Quantité]]*Tbl_Ventes[[#This Row],[Prix Unitaire]]</f>
        <v>4500</v>
      </c>
      <c r="I20" s="37">
        <v>33</v>
      </c>
      <c r="J20" s="36">
        <f>Tbl_Ventes[[#This Row],[Quantité]]*Tbl_Ventes[[#This Row],[Coût Unitaire Direct]]</f>
        <v>3300</v>
      </c>
      <c r="K20" s="36">
        <f>Tbl_Ventes[[#This Row],[Chiffre d''Affaires]]-Tbl_Ventes[[#This Row],[Coût Direct Total]]</f>
        <v>1200</v>
      </c>
      <c r="L20" s="15">
        <f>Tbl_Ventes[[#This Row],[Marge]]/Tbl_Ventes[[#This Row],[Chiffre d''Affaires]]</f>
        <v>0.26666666666666666</v>
      </c>
      <c r="M20" t="str">
        <f>_xlfn.XLOOKUP(Tbl_Ventes[[#This Row],[ID Client]],Tbl_Clients[Client ID],Tbl_Clients[Client Name])</f>
        <v>Picardie Assemblage</v>
      </c>
      <c r="N20" t="str">
        <f>_xlfn.XLOOKUP(Tbl_Ventes[[#This Row],[ID Client]],Tbl_Clients[Client ID],Tbl_Clients[Sector])</f>
        <v>Automobile</v>
      </c>
      <c r="O20" t="str">
        <f>_xlfn.XLOOKUP(Tbl_Ventes[[#This Row],[ID Client]],Tbl_Clients[Client ID],Tbl_Clients[Account  Manager])</f>
        <v>Sophie Lenoir</v>
      </c>
    </row>
    <row r="21" spans="1:15">
      <c r="A21" t="s">
        <v>148</v>
      </c>
      <c r="B21" s="13">
        <v>45733</v>
      </c>
      <c r="C21" t="s">
        <v>99</v>
      </c>
      <c r="D21" t="s">
        <v>29</v>
      </c>
      <c r="E21" t="s">
        <v>190</v>
      </c>
      <c r="F21" s="35">
        <v>40</v>
      </c>
      <c r="G21" s="37">
        <v>115</v>
      </c>
      <c r="H21" s="36">
        <f>Tbl_Ventes[[#This Row],[Quantité]]*Tbl_Ventes[[#This Row],[Prix Unitaire]]</f>
        <v>4600</v>
      </c>
      <c r="I21" s="37">
        <v>82</v>
      </c>
      <c r="J21" s="36">
        <f>Tbl_Ventes[[#This Row],[Quantité]]*Tbl_Ventes[[#This Row],[Coût Unitaire Direct]]</f>
        <v>3280</v>
      </c>
      <c r="K21" s="36">
        <f>Tbl_Ventes[[#This Row],[Chiffre d''Affaires]]-Tbl_Ventes[[#This Row],[Coût Direct Total]]</f>
        <v>1320</v>
      </c>
      <c r="L21" s="15">
        <f>Tbl_Ventes[[#This Row],[Marge]]/Tbl_Ventes[[#This Row],[Chiffre d''Affaires]]</f>
        <v>0.28695652173913044</v>
      </c>
      <c r="M21" t="str">
        <f>_xlfn.XLOOKUP(Tbl_Ventes[[#This Row],[ID Client]],Tbl_Clients[Client ID],Tbl_Clients[Client Name])</f>
        <v>Global Export Partners</v>
      </c>
      <c r="N21" t="str">
        <f>_xlfn.XLOOKUP(Tbl_Ventes[[#This Row],[ID Client]],Tbl_Clients[Client ID],Tbl_Clients[Sector])</f>
        <v>Négoce international</v>
      </c>
      <c r="O21" t="str">
        <f>_xlfn.XLOOKUP(Tbl_Ventes[[#This Row],[ID Client]],Tbl_Clients[Client ID],Tbl_Clients[Account  Manager])</f>
        <v>Camille Dubois</v>
      </c>
    </row>
    <row r="22" spans="1:15">
      <c r="A22" t="s">
        <v>149</v>
      </c>
      <c r="B22" s="13">
        <v>45737</v>
      </c>
      <c r="C22" t="s">
        <v>86</v>
      </c>
      <c r="D22" t="s">
        <v>28</v>
      </c>
      <c r="E22" t="s">
        <v>191</v>
      </c>
      <c r="F22" s="35">
        <v>170</v>
      </c>
      <c r="G22" s="37">
        <v>18</v>
      </c>
      <c r="H22" s="36">
        <f>Tbl_Ventes[[#This Row],[Quantité]]*Tbl_Ventes[[#This Row],[Prix Unitaire]]</f>
        <v>3060</v>
      </c>
      <c r="I22" s="37">
        <v>12</v>
      </c>
      <c r="J22" s="36">
        <f>Tbl_Ventes[[#This Row],[Quantité]]*Tbl_Ventes[[#This Row],[Coût Unitaire Direct]]</f>
        <v>2040</v>
      </c>
      <c r="K22" s="36">
        <f>Tbl_Ventes[[#This Row],[Chiffre d''Affaires]]-Tbl_Ventes[[#This Row],[Coût Direct Total]]</f>
        <v>1020</v>
      </c>
      <c r="L22" s="15">
        <f>Tbl_Ventes[[#This Row],[Marge]]/Tbl_Ventes[[#This Row],[Chiffre d''Affaires]]</f>
        <v>0.33333333333333331</v>
      </c>
      <c r="M22" t="str">
        <f>_xlfn.XLOOKUP(Tbl_Ventes[[#This Row],[ID Client]],Tbl_Clients[Client ID],Tbl_Clients[Client Name])</f>
        <v>Auvergne Automotive Systems</v>
      </c>
      <c r="N22" t="str">
        <f>_xlfn.XLOOKUP(Tbl_Ventes[[#This Row],[ID Client]],Tbl_Clients[Client ID],Tbl_Clients[Sector])</f>
        <v>Automobile</v>
      </c>
      <c r="O22" t="str">
        <f>_xlfn.XLOOKUP(Tbl_Ventes[[#This Row],[ID Client]],Tbl_Clients[Client ID],Tbl_Clients[Account  Manager])</f>
        <v>Julien Marchand</v>
      </c>
    </row>
    <row r="23" spans="1:15">
      <c r="A23" t="s">
        <v>150</v>
      </c>
      <c r="B23" s="13">
        <v>45740</v>
      </c>
      <c r="C23" t="s">
        <v>91</v>
      </c>
      <c r="D23" t="s">
        <v>28</v>
      </c>
      <c r="E23" t="s">
        <v>189</v>
      </c>
      <c r="F23" s="35">
        <v>115</v>
      </c>
      <c r="G23" s="37">
        <v>44</v>
      </c>
      <c r="H23" s="36">
        <f>Tbl_Ventes[[#This Row],[Quantité]]*Tbl_Ventes[[#This Row],[Prix Unitaire]]</f>
        <v>5060</v>
      </c>
      <c r="I23" s="37">
        <v>31</v>
      </c>
      <c r="J23" s="36">
        <f>Tbl_Ventes[[#This Row],[Quantité]]*Tbl_Ventes[[#This Row],[Coût Unitaire Direct]]</f>
        <v>3565</v>
      </c>
      <c r="K23" s="36">
        <f>Tbl_Ventes[[#This Row],[Chiffre d''Affaires]]-Tbl_Ventes[[#This Row],[Coût Direct Total]]</f>
        <v>1495</v>
      </c>
      <c r="L23" s="15">
        <f>Tbl_Ventes[[#This Row],[Marge]]/Tbl_Ventes[[#This Row],[Chiffre d''Affaires]]</f>
        <v>0.29545454545454547</v>
      </c>
      <c r="M23" t="str">
        <f>_xlfn.XLOOKUP(Tbl_Ventes[[#This Row],[ID Client]],Tbl_Clients[Client ID],Tbl_Clients[Client Name])</f>
        <v>Rhône Aérostructures</v>
      </c>
      <c r="N23" t="str">
        <f>_xlfn.XLOOKUP(Tbl_Ventes[[#This Row],[ID Client]],Tbl_Clients[Client ID],Tbl_Clients[Sector])</f>
        <v>Aéronautique</v>
      </c>
      <c r="O23" t="str">
        <f>_xlfn.XLOOKUP(Tbl_Ventes[[#This Row],[ID Client]],Tbl_Clients[Client ID],Tbl_Clients[Account  Manager])</f>
        <v>Camille Dubois</v>
      </c>
    </row>
    <row r="24" spans="1:15">
      <c r="A24" t="s">
        <v>151</v>
      </c>
      <c r="B24" s="13">
        <v>45743</v>
      </c>
      <c r="C24" t="s">
        <v>92</v>
      </c>
      <c r="D24" t="s">
        <v>27</v>
      </c>
      <c r="E24" t="s">
        <v>190</v>
      </c>
      <c r="F24" s="35">
        <v>58</v>
      </c>
      <c r="G24" s="37">
        <v>109</v>
      </c>
      <c r="H24" s="36">
        <f>Tbl_Ventes[[#This Row],[Quantité]]*Tbl_Ventes[[#This Row],[Prix Unitaire]]</f>
        <v>6322</v>
      </c>
      <c r="I24" s="37">
        <v>76</v>
      </c>
      <c r="J24" s="36">
        <f>Tbl_Ventes[[#This Row],[Quantité]]*Tbl_Ventes[[#This Row],[Coût Unitaire Direct]]</f>
        <v>4408</v>
      </c>
      <c r="K24" s="36">
        <f>Tbl_Ventes[[#This Row],[Chiffre d''Affaires]]-Tbl_Ventes[[#This Row],[Coût Direct Total]]</f>
        <v>1914</v>
      </c>
      <c r="L24" s="15">
        <f>Tbl_Ventes[[#This Row],[Marge]]/Tbl_Ventes[[#This Row],[Chiffre d''Affaires]]</f>
        <v>0.30275229357798167</v>
      </c>
      <c r="M24" t="str">
        <f>_xlfn.XLOOKUP(Tbl_Ventes[[#This Row],[ID Client]],Tbl_Clients[Client ID],Tbl_Clients[Client Name])</f>
        <v>Norbatir Industries</v>
      </c>
      <c r="N24" t="str">
        <f>_xlfn.XLOOKUP(Tbl_Ventes[[#This Row],[ID Client]],Tbl_Clients[Client ID],Tbl_Clients[Sector])</f>
        <v>BTP</v>
      </c>
      <c r="O24" t="str">
        <f>_xlfn.XLOOKUP(Tbl_Ventes[[#This Row],[ID Client]],Tbl_Clients[Client ID],Tbl_Clients[Account  Manager])</f>
        <v>Julien Marchand</v>
      </c>
    </row>
    <row r="25" spans="1:15">
      <c r="A25" t="s">
        <v>152</v>
      </c>
      <c r="B25" s="13">
        <v>45746</v>
      </c>
      <c r="C25" t="s">
        <v>93</v>
      </c>
      <c r="D25" t="s">
        <v>27</v>
      </c>
      <c r="E25" t="s">
        <v>191</v>
      </c>
      <c r="F25" s="35">
        <v>155</v>
      </c>
      <c r="G25" s="37">
        <v>19</v>
      </c>
      <c r="H25" s="36">
        <f>Tbl_Ventes[[#This Row],[Quantité]]*Tbl_Ventes[[#This Row],[Prix Unitaire]]</f>
        <v>2945</v>
      </c>
      <c r="I25" s="37">
        <v>13</v>
      </c>
      <c r="J25" s="36">
        <f>Tbl_Ventes[[#This Row],[Quantité]]*Tbl_Ventes[[#This Row],[Coût Unitaire Direct]]</f>
        <v>2015</v>
      </c>
      <c r="K25" s="36">
        <f>Tbl_Ventes[[#This Row],[Chiffre d''Affaires]]-Tbl_Ventes[[#This Row],[Coût Direct Total]]</f>
        <v>930</v>
      </c>
      <c r="L25" s="15">
        <f>Tbl_Ventes[[#This Row],[Marge]]/Tbl_Ventes[[#This Row],[Chiffre d''Affaires]]</f>
        <v>0.31578947368421051</v>
      </c>
      <c r="M25" t="str">
        <f>_xlfn.XLOOKUP(Tbl_Ventes[[#This Row],[ID Client]],Tbl_Clients[Client ID],Tbl_Clients[Client Name])</f>
        <v>ElectroPlast SA</v>
      </c>
      <c r="N25" t="str">
        <f>_xlfn.XLOOKUP(Tbl_Ventes[[#This Row],[ID Client]],Tbl_Clients[Client ID],Tbl_Clients[Sector])</f>
        <v>Électroménager</v>
      </c>
      <c r="O25" t="str">
        <f>_xlfn.XLOOKUP(Tbl_Ventes[[#This Row],[ID Client]],Tbl_Clients[Client ID],Tbl_Clients[Account  Manager])</f>
        <v>Sophie Lenoir</v>
      </c>
    </row>
    <row r="26" spans="1:15">
      <c r="A26" t="s">
        <v>153</v>
      </c>
      <c r="B26" s="13">
        <v>45750</v>
      </c>
      <c r="C26" t="s">
        <v>94</v>
      </c>
      <c r="D26" t="s">
        <v>28</v>
      </c>
      <c r="E26" t="s">
        <v>189</v>
      </c>
      <c r="F26" s="35">
        <v>125</v>
      </c>
      <c r="G26" s="37">
        <v>46</v>
      </c>
      <c r="H26" s="36">
        <f>Tbl_Ventes[[#This Row],[Quantité]]*Tbl_Ventes[[#This Row],[Prix Unitaire]]</f>
        <v>5750</v>
      </c>
      <c r="I26" s="37">
        <v>34</v>
      </c>
      <c r="J26" s="36">
        <f>Tbl_Ventes[[#This Row],[Quantité]]*Tbl_Ventes[[#This Row],[Coût Unitaire Direct]]</f>
        <v>4250</v>
      </c>
      <c r="K26" s="36">
        <f>Tbl_Ventes[[#This Row],[Chiffre d''Affaires]]-Tbl_Ventes[[#This Row],[Coût Direct Total]]</f>
        <v>1500</v>
      </c>
      <c r="L26" s="15">
        <f>Tbl_Ventes[[#This Row],[Marge]]/Tbl_Ventes[[#This Row],[Chiffre d''Affaires]]</f>
        <v>0.2608695652173913</v>
      </c>
      <c r="M26" t="str">
        <f>_xlfn.XLOOKUP(Tbl_Ventes[[#This Row],[ID Client]],Tbl_Clients[Client ID],Tbl_Clients[Client Name])</f>
        <v>Dauphiné Composants</v>
      </c>
      <c r="N26" t="str">
        <f>_xlfn.XLOOKUP(Tbl_Ventes[[#This Row],[ID Client]],Tbl_Clients[Client ID],Tbl_Clients[Sector])</f>
        <v>Automobile</v>
      </c>
      <c r="O26" t="str">
        <f>_xlfn.XLOOKUP(Tbl_Ventes[[#This Row],[ID Client]],Tbl_Clients[Client ID],Tbl_Clients[Account  Manager])</f>
        <v>Camille Dubois</v>
      </c>
    </row>
    <row r="27" spans="1:15">
      <c r="A27" t="s">
        <v>154</v>
      </c>
      <c r="B27" s="13">
        <v>45753</v>
      </c>
      <c r="C27" t="s">
        <v>95</v>
      </c>
      <c r="D27" t="s">
        <v>27</v>
      </c>
      <c r="E27" t="s">
        <v>190</v>
      </c>
      <c r="F27" s="35">
        <v>48</v>
      </c>
      <c r="G27" s="37">
        <v>110</v>
      </c>
      <c r="H27" s="36">
        <f>Tbl_Ventes[[#This Row],[Quantité]]*Tbl_Ventes[[#This Row],[Prix Unitaire]]</f>
        <v>5280</v>
      </c>
      <c r="I27" s="37">
        <v>78</v>
      </c>
      <c r="J27" s="36">
        <f>Tbl_Ventes[[#This Row],[Quantité]]*Tbl_Ventes[[#This Row],[Coût Unitaire Direct]]</f>
        <v>3744</v>
      </c>
      <c r="K27" s="36">
        <f>Tbl_Ventes[[#This Row],[Chiffre d''Affaires]]-Tbl_Ventes[[#This Row],[Coût Direct Total]]</f>
        <v>1536</v>
      </c>
      <c r="L27" s="15">
        <f>Tbl_Ventes[[#This Row],[Marge]]/Tbl_Ventes[[#This Row],[Chiffre d''Affaires]]</f>
        <v>0.29090909090909089</v>
      </c>
      <c r="M27" t="str">
        <f>_xlfn.XLOOKUP(Tbl_Ventes[[#This Row],[ID Client]],Tbl_Clients[Client ID],Tbl_Clients[Client Name])</f>
        <v>Nortec Machines</v>
      </c>
      <c r="N27" t="str">
        <f>_xlfn.XLOOKUP(Tbl_Ventes[[#This Row],[ID Client]],Tbl_Clients[Client ID],Tbl_Clients[Sector])</f>
        <v>Machines-outils</v>
      </c>
      <c r="O27" t="str">
        <f>_xlfn.XLOOKUP(Tbl_Ventes[[#This Row],[ID Client]],Tbl_Clients[Client ID],Tbl_Clients[Account  Manager])</f>
        <v>Sophie Lenoir</v>
      </c>
    </row>
    <row r="28" spans="1:15">
      <c r="A28" t="s">
        <v>155</v>
      </c>
      <c r="B28" s="13">
        <v>45756</v>
      </c>
      <c r="C28" t="s">
        <v>96</v>
      </c>
      <c r="D28" t="s">
        <v>28</v>
      </c>
      <c r="E28" t="s">
        <v>191</v>
      </c>
      <c r="F28" s="35">
        <v>165</v>
      </c>
      <c r="G28" s="37">
        <v>18</v>
      </c>
      <c r="H28" s="36">
        <f>Tbl_Ventes[[#This Row],[Quantité]]*Tbl_Ventes[[#This Row],[Prix Unitaire]]</f>
        <v>2970</v>
      </c>
      <c r="I28" s="37">
        <v>13</v>
      </c>
      <c r="J28" s="36">
        <f>Tbl_Ventes[[#This Row],[Quantité]]*Tbl_Ventes[[#This Row],[Coût Unitaire Direct]]</f>
        <v>2145</v>
      </c>
      <c r="K28" s="36">
        <f>Tbl_Ventes[[#This Row],[Chiffre d''Affaires]]-Tbl_Ventes[[#This Row],[Coût Direct Total]]</f>
        <v>825</v>
      </c>
      <c r="L28" s="15">
        <f>Tbl_Ventes[[#This Row],[Marge]]/Tbl_Ventes[[#This Row],[Chiffre d''Affaires]]</f>
        <v>0.27777777777777779</v>
      </c>
      <c r="M28" t="str">
        <f>_xlfn.XLOOKUP(Tbl_Ventes[[#This Row],[ID Client]],Tbl_Clients[Client ID],Tbl_Clients[Client Name])</f>
        <v>Alpina Métallurgie</v>
      </c>
      <c r="N28" t="str">
        <f>_xlfn.XLOOKUP(Tbl_Ventes[[#This Row],[ID Client]],Tbl_Clients[Client ID],Tbl_Clients[Sector])</f>
        <v>Métallurgie</v>
      </c>
      <c r="O28" t="str">
        <f>_xlfn.XLOOKUP(Tbl_Ventes[[#This Row],[ID Client]],Tbl_Clients[Client ID],Tbl_Clients[Account  Manager])</f>
        <v>Julien Marchand</v>
      </c>
    </row>
    <row r="29" spans="1:15">
      <c r="A29" t="s">
        <v>156</v>
      </c>
      <c r="B29" s="13">
        <v>45759</v>
      </c>
      <c r="C29" t="s">
        <v>97</v>
      </c>
      <c r="D29" t="s">
        <v>28</v>
      </c>
      <c r="E29" t="s">
        <v>189</v>
      </c>
      <c r="F29" s="35">
        <v>105</v>
      </c>
      <c r="G29" s="37">
        <v>45</v>
      </c>
      <c r="H29" s="36">
        <f>Tbl_Ventes[[#This Row],[Quantité]]*Tbl_Ventes[[#This Row],[Prix Unitaire]]</f>
        <v>4725</v>
      </c>
      <c r="I29" s="37">
        <v>32</v>
      </c>
      <c r="J29" s="36">
        <f>Tbl_Ventes[[#This Row],[Quantité]]*Tbl_Ventes[[#This Row],[Coût Unitaire Direct]]</f>
        <v>3360</v>
      </c>
      <c r="K29" s="36">
        <f>Tbl_Ventes[[#This Row],[Chiffre d''Affaires]]-Tbl_Ventes[[#This Row],[Coût Direct Total]]</f>
        <v>1365</v>
      </c>
      <c r="L29" s="15">
        <f>Tbl_Ventes[[#This Row],[Marge]]/Tbl_Ventes[[#This Row],[Chiffre d''Affaires]]</f>
        <v>0.28888888888888886</v>
      </c>
      <c r="M29" t="str">
        <f>_xlfn.XLOOKUP(Tbl_Ventes[[#This Row],[ID Client]],Tbl_Clients[Client ID],Tbl_Clients[Client Name])</f>
        <v>Lyonnaise Câblage</v>
      </c>
      <c r="N29" t="str">
        <f>_xlfn.XLOOKUP(Tbl_Ventes[[#This Row],[ID Client]],Tbl_Clients[Client ID],Tbl_Clients[Sector])</f>
        <v>Électronique</v>
      </c>
      <c r="O29" t="str">
        <f>_xlfn.XLOOKUP(Tbl_Ventes[[#This Row],[ID Client]],Tbl_Clients[Client ID],Tbl_Clients[Account  Manager])</f>
        <v>Camille Dubois</v>
      </c>
    </row>
    <row r="30" spans="1:15">
      <c r="A30" t="s">
        <v>157</v>
      </c>
      <c r="B30" s="13">
        <v>45762</v>
      </c>
      <c r="C30" t="s">
        <v>98</v>
      </c>
      <c r="D30" t="s">
        <v>27</v>
      </c>
      <c r="E30" t="s">
        <v>190</v>
      </c>
      <c r="F30" s="35">
        <v>52</v>
      </c>
      <c r="G30" s="37">
        <v>108</v>
      </c>
      <c r="H30" s="36">
        <f>Tbl_Ventes[[#This Row],[Quantité]]*Tbl_Ventes[[#This Row],[Prix Unitaire]]</f>
        <v>5616</v>
      </c>
      <c r="I30" s="37">
        <v>75</v>
      </c>
      <c r="J30" s="36">
        <f>Tbl_Ventes[[#This Row],[Quantité]]*Tbl_Ventes[[#This Row],[Coût Unitaire Direct]]</f>
        <v>3900</v>
      </c>
      <c r="K30" s="36">
        <f>Tbl_Ventes[[#This Row],[Chiffre d''Affaires]]-Tbl_Ventes[[#This Row],[Coût Direct Total]]</f>
        <v>1716</v>
      </c>
      <c r="L30" s="15">
        <f>Tbl_Ventes[[#This Row],[Marge]]/Tbl_Ventes[[#This Row],[Chiffre d''Affaires]]</f>
        <v>0.30555555555555558</v>
      </c>
      <c r="M30" t="str">
        <f>_xlfn.XLOOKUP(Tbl_Ventes[[#This Row],[ID Client]],Tbl_Clients[Client ID],Tbl_Clients[Client Name])</f>
        <v>Picardie Assemblage</v>
      </c>
      <c r="N30" t="str">
        <f>_xlfn.XLOOKUP(Tbl_Ventes[[#This Row],[ID Client]],Tbl_Clients[Client ID],Tbl_Clients[Sector])</f>
        <v>Automobile</v>
      </c>
      <c r="O30" t="str">
        <f>_xlfn.XLOOKUP(Tbl_Ventes[[#This Row],[ID Client]],Tbl_Clients[Client ID],Tbl_Clients[Account  Manager])</f>
        <v>Sophie Lenoir</v>
      </c>
    </row>
    <row r="31" spans="1:15">
      <c r="A31" t="s">
        <v>158</v>
      </c>
      <c r="B31" s="13">
        <v>45765</v>
      </c>
      <c r="C31" t="s">
        <v>99</v>
      </c>
      <c r="D31" t="s">
        <v>29</v>
      </c>
      <c r="E31" t="s">
        <v>191</v>
      </c>
      <c r="F31" s="35">
        <v>210</v>
      </c>
      <c r="G31" s="37">
        <v>19</v>
      </c>
      <c r="H31" s="36">
        <f>Tbl_Ventes[[#This Row],[Quantité]]*Tbl_Ventes[[#This Row],[Prix Unitaire]]</f>
        <v>3990</v>
      </c>
      <c r="I31" s="37">
        <v>14</v>
      </c>
      <c r="J31" s="36">
        <f>Tbl_Ventes[[#This Row],[Quantité]]*Tbl_Ventes[[#This Row],[Coût Unitaire Direct]]</f>
        <v>2940</v>
      </c>
      <c r="K31" s="36">
        <f>Tbl_Ventes[[#This Row],[Chiffre d''Affaires]]-Tbl_Ventes[[#This Row],[Coût Direct Total]]</f>
        <v>1050</v>
      </c>
      <c r="L31" s="15">
        <f>Tbl_Ventes[[#This Row],[Marge]]/Tbl_Ventes[[#This Row],[Chiffre d''Affaires]]</f>
        <v>0.26315789473684209</v>
      </c>
      <c r="M31" t="str">
        <f>_xlfn.XLOOKUP(Tbl_Ventes[[#This Row],[ID Client]],Tbl_Clients[Client ID],Tbl_Clients[Client Name])</f>
        <v>Global Export Partners</v>
      </c>
      <c r="N31" t="str">
        <f>_xlfn.XLOOKUP(Tbl_Ventes[[#This Row],[ID Client]],Tbl_Clients[Client ID],Tbl_Clients[Sector])</f>
        <v>Négoce international</v>
      </c>
      <c r="O31" t="str">
        <f>_xlfn.XLOOKUP(Tbl_Ventes[[#This Row],[ID Client]],Tbl_Clients[Client ID],Tbl_Clients[Account  Manager])</f>
        <v>Camille Dubois</v>
      </c>
    </row>
    <row r="32" spans="1:15">
      <c r="A32" t="s">
        <v>159</v>
      </c>
      <c r="B32" s="13">
        <v>45769</v>
      </c>
      <c r="C32" t="s">
        <v>86</v>
      </c>
      <c r="D32" t="s">
        <v>28</v>
      </c>
      <c r="E32" t="s">
        <v>189</v>
      </c>
      <c r="F32" s="35">
        <v>118</v>
      </c>
      <c r="G32" s="37">
        <v>45</v>
      </c>
      <c r="H32" s="36">
        <f>Tbl_Ventes[[#This Row],[Quantité]]*Tbl_Ventes[[#This Row],[Prix Unitaire]]</f>
        <v>5310</v>
      </c>
      <c r="I32" s="37">
        <v>33</v>
      </c>
      <c r="J32" s="36">
        <f>Tbl_Ventes[[#This Row],[Quantité]]*Tbl_Ventes[[#This Row],[Coût Unitaire Direct]]</f>
        <v>3894</v>
      </c>
      <c r="K32" s="36">
        <f>Tbl_Ventes[[#This Row],[Chiffre d''Affaires]]-Tbl_Ventes[[#This Row],[Coût Direct Total]]</f>
        <v>1416</v>
      </c>
      <c r="L32" s="15">
        <f>Tbl_Ventes[[#This Row],[Marge]]/Tbl_Ventes[[#This Row],[Chiffre d''Affaires]]</f>
        <v>0.26666666666666666</v>
      </c>
      <c r="M32" t="str">
        <f>_xlfn.XLOOKUP(Tbl_Ventes[[#This Row],[ID Client]],Tbl_Clients[Client ID],Tbl_Clients[Client Name])</f>
        <v>Auvergne Automotive Systems</v>
      </c>
      <c r="N32" t="str">
        <f>_xlfn.XLOOKUP(Tbl_Ventes[[#This Row],[ID Client]],Tbl_Clients[Client ID],Tbl_Clients[Sector])</f>
        <v>Automobile</v>
      </c>
      <c r="O32" t="str">
        <f>_xlfn.XLOOKUP(Tbl_Ventes[[#This Row],[ID Client]],Tbl_Clients[Client ID],Tbl_Clients[Account  Manager])</f>
        <v>Julien Marchand</v>
      </c>
    </row>
    <row r="33" spans="1:15">
      <c r="A33" t="s">
        <v>160</v>
      </c>
      <c r="B33" s="13">
        <v>45772</v>
      </c>
      <c r="C33" t="s">
        <v>91</v>
      </c>
      <c r="D33" t="s">
        <v>28</v>
      </c>
      <c r="E33" t="s">
        <v>190</v>
      </c>
      <c r="F33" s="35">
        <v>62</v>
      </c>
      <c r="G33" s="37">
        <v>112</v>
      </c>
      <c r="H33" s="36">
        <f>Tbl_Ventes[[#This Row],[Quantité]]*Tbl_Ventes[[#This Row],[Prix Unitaire]]</f>
        <v>6944</v>
      </c>
      <c r="I33" s="37">
        <v>79</v>
      </c>
      <c r="J33" s="36">
        <f>Tbl_Ventes[[#This Row],[Quantité]]*Tbl_Ventes[[#This Row],[Coût Unitaire Direct]]</f>
        <v>4898</v>
      </c>
      <c r="K33" s="36">
        <f>Tbl_Ventes[[#This Row],[Chiffre d''Affaires]]-Tbl_Ventes[[#This Row],[Coût Direct Total]]</f>
        <v>2046</v>
      </c>
      <c r="L33" s="15">
        <f>Tbl_Ventes[[#This Row],[Marge]]/Tbl_Ventes[[#This Row],[Chiffre d''Affaires]]</f>
        <v>0.29464285714285715</v>
      </c>
      <c r="M33" t="str">
        <f>_xlfn.XLOOKUP(Tbl_Ventes[[#This Row],[ID Client]],Tbl_Clients[Client ID],Tbl_Clients[Client Name])</f>
        <v>Rhône Aérostructures</v>
      </c>
      <c r="N33" t="str">
        <f>_xlfn.XLOOKUP(Tbl_Ventes[[#This Row],[ID Client]],Tbl_Clients[Client ID],Tbl_Clients[Sector])</f>
        <v>Aéronautique</v>
      </c>
      <c r="O33" t="str">
        <f>_xlfn.XLOOKUP(Tbl_Ventes[[#This Row],[ID Client]],Tbl_Clients[Client ID],Tbl_Clients[Account  Manager])</f>
        <v>Camille Dubois</v>
      </c>
    </row>
    <row r="34" spans="1:15">
      <c r="A34" t="s">
        <v>161</v>
      </c>
      <c r="B34" s="13">
        <v>45775</v>
      </c>
      <c r="C34" t="s">
        <v>92</v>
      </c>
      <c r="D34" t="s">
        <v>27</v>
      </c>
      <c r="E34" t="s">
        <v>191</v>
      </c>
      <c r="F34" s="35">
        <v>145</v>
      </c>
      <c r="G34" s="37">
        <v>18</v>
      </c>
      <c r="H34" s="36">
        <f>Tbl_Ventes[[#This Row],[Quantité]]*Tbl_Ventes[[#This Row],[Prix Unitaire]]</f>
        <v>2610</v>
      </c>
      <c r="I34" s="37">
        <v>12</v>
      </c>
      <c r="J34" s="36">
        <f>Tbl_Ventes[[#This Row],[Quantité]]*Tbl_Ventes[[#This Row],[Coût Unitaire Direct]]</f>
        <v>1740</v>
      </c>
      <c r="K34" s="36">
        <f>Tbl_Ventes[[#This Row],[Chiffre d''Affaires]]-Tbl_Ventes[[#This Row],[Coût Direct Total]]</f>
        <v>870</v>
      </c>
      <c r="L34" s="15">
        <f>Tbl_Ventes[[#This Row],[Marge]]/Tbl_Ventes[[#This Row],[Chiffre d''Affaires]]</f>
        <v>0.33333333333333331</v>
      </c>
      <c r="M34" t="str">
        <f>_xlfn.XLOOKUP(Tbl_Ventes[[#This Row],[ID Client]],Tbl_Clients[Client ID],Tbl_Clients[Client Name])</f>
        <v>Norbatir Industries</v>
      </c>
      <c r="N34" t="str">
        <f>_xlfn.XLOOKUP(Tbl_Ventes[[#This Row],[ID Client]],Tbl_Clients[Client ID],Tbl_Clients[Sector])</f>
        <v>BTP</v>
      </c>
      <c r="O34" t="str">
        <f>_xlfn.XLOOKUP(Tbl_Ventes[[#This Row],[ID Client]],Tbl_Clients[Client ID],Tbl_Clients[Account  Manager])</f>
        <v>Julien Marchand</v>
      </c>
    </row>
    <row r="35" spans="1:15">
      <c r="A35" t="s">
        <v>162</v>
      </c>
      <c r="B35" s="13">
        <v>45779</v>
      </c>
      <c r="C35" t="s">
        <v>93</v>
      </c>
      <c r="D35" t="s">
        <v>27</v>
      </c>
      <c r="E35" t="s">
        <v>189</v>
      </c>
      <c r="F35" s="35">
        <v>98</v>
      </c>
      <c r="G35" s="37">
        <v>44</v>
      </c>
      <c r="H35" s="36">
        <f>Tbl_Ventes[[#This Row],[Quantité]]*Tbl_Ventes[[#This Row],[Prix Unitaire]]</f>
        <v>4312</v>
      </c>
      <c r="I35" s="37">
        <v>32</v>
      </c>
      <c r="J35" s="36">
        <f>Tbl_Ventes[[#This Row],[Quantité]]*Tbl_Ventes[[#This Row],[Coût Unitaire Direct]]</f>
        <v>3136</v>
      </c>
      <c r="K35" s="36">
        <f>Tbl_Ventes[[#This Row],[Chiffre d''Affaires]]-Tbl_Ventes[[#This Row],[Coût Direct Total]]</f>
        <v>1176</v>
      </c>
      <c r="L35" s="15">
        <f>Tbl_Ventes[[#This Row],[Marge]]/Tbl_Ventes[[#This Row],[Chiffre d''Affaires]]</f>
        <v>0.27272727272727271</v>
      </c>
      <c r="M35" t="str">
        <f>_xlfn.XLOOKUP(Tbl_Ventes[[#This Row],[ID Client]],Tbl_Clients[Client ID],Tbl_Clients[Client Name])</f>
        <v>ElectroPlast SA</v>
      </c>
      <c r="N35" t="str">
        <f>_xlfn.XLOOKUP(Tbl_Ventes[[#This Row],[ID Client]],Tbl_Clients[Client ID],Tbl_Clients[Sector])</f>
        <v>Électroménager</v>
      </c>
      <c r="O35" t="str">
        <f>_xlfn.XLOOKUP(Tbl_Ventes[[#This Row],[ID Client]],Tbl_Clients[Client ID],Tbl_Clients[Account  Manager])</f>
        <v>Sophie Lenoir</v>
      </c>
    </row>
    <row r="36" spans="1:15">
      <c r="A36" t="s">
        <v>163</v>
      </c>
      <c r="B36" s="13">
        <v>45782</v>
      </c>
      <c r="C36" t="s">
        <v>94</v>
      </c>
      <c r="D36" t="s">
        <v>28</v>
      </c>
      <c r="E36" t="s">
        <v>190</v>
      </c>
      <c r="F36" s="35">
        <v>55</v>
      </c>
      <c r="G36" s="37">
        <v>109</v>
      </c>
      <c r="H36" s="36">
        <f>Tbl_Ventes[[#This Row],[Quantité]]*Tbl_Ventes[[#This Row],[Prix Unitaire]]</f>
        <v>5995</v>
      </c>
      <c r="I36" s="37">
        <v>76</v>
      </c>
      <c r="J36" s="36">
        <f>Tbl_Ventes[[#This Row],[Quantité]]*Tbl_Ventes[[#This Row],[Coût Unitaire Direct]]</f>
        <v>4180</v>
      </c>
      <c r="K36" s="36">
        <f>Tbl_Ventes[[#This Row],[Chiffre d''Affaires]]-Tbl_Ventes[[#This Row],[Coût Direct Total]]</f>
        <v>1815</v>
      </c>
      <c r="L36" s="15">
        <f>Tbl_Ventes[[#This Row],[Marge]]/Tbl_Ventes[[#This Row],[Chiffre d''Affaires]]</f>
        <v>0.30275229357798167</v>
      </c>
      <c r="M36" t="str">
        <f>_xlfn.XLOOKUP(Tbl_Ventes[[#This Row],[ID Client]],Tbl_Clients[Client ID],Tbl_Clients[Client Name])</f>
        <v>Dauphiné Composants</v>
      </c>
      <c r="N36" t="str">
        <f>_xlfn.XLOOKUP(Tbl_Ventes[[#This Row],[ID Client]],Tbl_Clients[Client ID],Tbl_Clients[Sector])</f>
        <v>Automobile</v>
      </c>
      <c r="O36" t="str">
        <f>_xlfn.XLOOKUP(Tbl_Ventes[[#This Row],[ID Client]],Tbl_Clients[Client ID],Tbl_Clients[Account  Manager])</f>
        <v>Camille Dubois</v>
      </c>
    </row>
    <row r="37" spans="1:15">
      <c r="A37" t="s">
        <v>164</v>
      </c>
      <c r="B37" s="13">
        <v>45785</v>
      </c>
      <c r="C37" t="s">
        <v>95</v>
      </c>
      <c r="D37" t="s">
        <v>27</v>
      </c>
      <c r="E37" t="s">
        <v>191</v>
      </c>
      <c r="F37" s="35">
        <v>175</v>
      </c>
      <c r="G37" s="37">
        <v>19</v>
      </c>
      <c r="H37" s="36">
        <f>Tbl_Ventes[[#This Row],[Quantité]]*Tbl_Ventes[[#This Row],[Prix Unitaire]]</f>
        <v>3325</v>
      </c>
      <c r="I37" s="37">
        <v>13</v>
      </c>
      <c r="J37" s="36">
        <f>Tbl_Ventes[[#This Row],[Quantité]]*Tbl_Ventes[[#This Row],[Coût Unitaire Direct]]</f>
        <v>2275</v>
      </c>
      <c r="K37" s="36">
        <f>Tbl_Ventes[[#This Row],[Chiffre d''Affaires]]-Tbl_Ventes[[#This Row],[Coût Direct Total]]</f>
        <v>1050</v>
      </c>
      <c r="L37" s="15">
        <f>Tbl_Ventes[[#This Row],[Marge]]/Tbl_Ventes[[#This Row],[Chiffre d''Affaires]]</f>
        <v>0.31578947368421051</v>
      </c>
      <c r="M37" t="str">
        <f>_xlfn.XLOOKUP(Tbl_Ventes[[#This Row],[ID Client]],Tbl_Clients[Client ID],Tbl_Clients[Client Name])</f>
        <v>Nortec Machines</v>
      </c>
      <c r="N37" t="str">
        <f>_xlfn.XLOOKUP(Tbl_Ventes[[#This Row],[ID Client]],Tbl_Clients[Client ID],Tbl_Clients[Sector])</f>
        <v>Machines-outils</v>
      </c>
      <c r="O37" t="str">
        <f>_xlfn.XLOOKUP(Tbl_Ventes[[#This Row],[ID Client]],Tbl_Clients[Client ID],Tbl_Clients[Account  Manager])</f>
        <v>Sophie Lenoir</v>
      </c>
    </row>
    <row r="38" spans="1:15">
      <c r="A38" t="s">
        <v>165</v>
      </c>
      <c r="B38" s="13">
        <v>45788</v>
      </c>
      <c r="C38" t="s">
        <v>96</v>
      </c>
      <c r="D38" t="s">
        <v>28</v>
      </c>
      <c r="E38" t="s">
        <v>189</v>
      </c>
      <c r="F38" s="35">
        <v>108</v>
      </c>
      <c r="G38" s="37">
        <v>45</v>
      </c>
      <c r="H38" s="36">
        <f>Tbl_Ventes[[#This Row],[Quantité]]*Tbl_Ventes[[#This Row],[Prix Unitaire]]</f>
        <v>4860</v>
      </c>
      <c r="I38" s="37">
        <v>33</v>
      </c>
      <c r="J38" s="36">
        <f>Tbl_Ventes[[#This Row],[Quantité]]*Tbl_Ventes[[#This Row],[Coût Unitaire Direct]]</f>
        <v>3564</v>
      </c>
      <c r="K38" s="36">
        <f>Tbl_Ventes[[#This Row],[Chiffre d''Affaires]]-Tbl_Ventes[[#This Row],[Coût Direct Total]]</f>
        <v>1296</v>
      </c>
      <c r="L38" s="15">
        <f>Tbl_Ventes[[#This Row],[Marge]]/Tbl_Ventes[[#This Row],[Chiffre d''Affaires]]</f>
        <v>0.26666666666666666</v>
      </c>
      <c r="M38" t="str">
        <f>_xlfn.XLOOKUP(Tbl_Ventes[[#This Row],[ID Client]],Tbl_Clients[Client ID],Tbl_Clients[Client Name])</f>
        <v>Alpina Métallurgie</v>
      </c>
      <c r="N38" t="str">
        <f>_xlfn.XLOOKUP(Tbl_Ventes[[#This Row],[ID Client]],Tbl_Clients[Client ID],Tbl_Clients[Sector])</f>
        <v>Métallurgie</v>
      </c>
      <c r="O38" t="str">
        <f>_xlfn.XLOOKUP(Tbl_Ventes[[#This Row],[ID Client]],Tbl_Clients[Client ID],Tbl_Clients[Account  Manager])</f>
        <v>Julien Marchand</v>
      </c>
    </row>
    <row r="39" spans="1:15">
      <c r="A39" t="s">
        <v>166</v>
      </c>
      <c r="B39" s="13">
        <v>45791</v>
      </c>
      <c r="C39" t="s">
        <v>97</v>
      </c>
      <c r="D39" t="s">
        <v>28</v>
      </c>
      <c r="E39" t="s">
        <v>190</v>
      </c>
      <c r="F39" s="35">
        <v>45</v>
      </c>
      <c r="G39" s="37">
        <v>111</v>
      </c>
      <c r="H39" s="36">
        <f>Tbl_Ventes[[#This Row],[Quantité]]*Tbl_Ventes[[#This Row],[Prix Unitaire]]</f>
        <v>4995</v>
      </c>
      <c r="I39" s="37">
        <v>78</v>
      </c>
      <c r="J39" s="36">
        <f>Tbl_Ventes[[#This Row],[Quantité]]*Tbl_Ventes[[#This Row],[Coût Unitaire Direct]]</f>
        <v>3510</v>
      </c>
      <c r="K39" s="36">
        <f>Tbl_Ventes[[#This Row],[Chiffre d''Affaires]]-Tbl_Ventes[[#This Row],[Coût Direct Total]]</f>
        <v>1485</v>
      </c>
      <c r="L39" s="15">
        <f>Tbl_Ventes[[#This Row],[Marge]]/Tbl_Ventes[[#This Row],[Chiffre d''Affaires]]</f>
        <v>0.29729729729729731</v>
      </c>
      <c r="M39" t="str">
        <f>_xlfn.XLOOKUP(Tbl_Ventes[[#This Row],[ID Client]],Tbl_Clients[Client ID],Tbl_Clients[Client Name])</f>
        <v>Lyonnaise Câblage</v>
      </c>
      <c r="N39" t="str">
        <f>_xlfn.XLOOKUP(Tbl_Ventes[[#This Row],[ID Client]],Tbl_Clients[Client ID],Tbl_Clients[Sector])</f>
        <v>Électronique</v>
      </c>
      <c r="O39" t="str">
        <f>_xlfn.XLOOKUP(Tbl_Ventes[[#This Row],[ID Client]],Tbl_Clients[Client ID],Tbl_Clients[Account  Manager])</f>
        <v>Camille Dubois</v>
      </c>
    </row>
    <row r="40" spans="1:15">
      <c r="A40" t="s">
        <v>167</v>
      </c>
      <c r="B40" s="13">
        <v>45794</v>
      </c>
      <c r="C40" t="s">
        <v>98</v>
      </c>
      <c r="D40" t="s">
        <v>27</v>
      </c>
      <c r="E40" t="s">
        <v>191</v>
      </c>
      <c r="F40" s="35">
        <v>185</v>
      </c>
      <c r="G40" s="37">
        <v>18</v>
      </c>
      <c r="H40" s="36">
        <f>Tbl_Ventes[[#This Row],[Quantité]]*Tbl_Ventes[[#This Row],[Prix Unitaire]]</f>
        <v>3330</v>
      </c>
      <c r="I40" s="37">
        <v>12</v>
      </c>
      <c r="J40" s="36">
        <f>Tbl_Ventes[[#This Row],[Quantité]]*Tbl_Ventes[[#This Row],[Coût Unitaire Direct]]</f>
        <v>2220</v>
      </c>
      <c r="K40" s="36">
        <f>Tbl_Ventes[[#This Row],[Chiffre d''Affaires]]-Tbl_Ventes[[#This Row],[Coût Direct Total]]</f>
        <v>1110</v>
      </c>
      <c r="L40" s="15">
        <f>Tbl_Ventes[[#This Row],[Marge]]/Tbl_Ventes[[#This Row],[Chiffre d''Affaires]]</f>
        <v>0.33333333333333331</v>
      </c>
      <c r="M40" t="str">
        <f>_xlfn.XLOOKUP(Tbl_Ventes[[#This Row],[ID Client]],Tbl_Clients[Client ID],Tbl_Clients[Client Name])</f>
        <v>Picardie Assemblage</v>
      </c>
      <c r="N40" t="str">
        <f>_xlfn.XLOOKUP(Tbl_Ventes[[#This Row],[ID Client]],Tbl_Clients[Client ID],Tbl_Clients[Sector])</f>
        <v>Automobile</v>
      </c>
      <c r="O40" t="str">
        <f>_xlfn.XLOOKUP(Tbl_Ventes[[#This Row],[ID Client]],Tbl_Clients[Client ID],Tbl_Clients[Account  Manager])</f>
        <v>Sophie Lenoir</v>
      </c>
    </row>
    <row r="41" spans="1:15">
      <c r="A41" t="s">
        <v>168</v>
      </c>
      <c r="B41" s="13">
        <v>45797</v>
      </c>
      <c r="C41" t="s">
        <v>99</v>
      </c>
      <c r="D41" t="s">
        <v>29</v>
      </c>
      <c r="E41" t="s">
        <v>189</v>
      </c>
      <c r="F41" s="35">
        <v>195</v>
      </c>
      <c r="G41" s="37">
        <v>46</v>
      </c>
      <c r="H41" s="36">
        <f>Tbl_Ventes[[#This Row],[Quantité]]*Tbl_Ventes[[#This Row],[Prix Unitaire]]</f>
        <v>8970</v>
      </c>
      <c r="I41" s="37">
        <v>34</v>
      </c>
      <c r="J41" s="36">
        <f>Tbl_Ventes[[#This Row],[Quantité]]*Tbl_Ventes[[#This Row],[Coût Unitaire Direct]]</f>
        <v>6630</v>
      </c>
      <c r="K41" s="36">
        <f>Tbl_Ventes[[#This Row],[Chiffre d''Affaires]]-Tbl_Ventes[[#This Row],[Coût Direct Total]]</f>
        <v>2340</v>
      </c>
      <c r="L41" s="15">
        <f>Tbl_Ventes[[#This Row],[Marge]]/Tbl_Ventes[[#This Row],[Chiffre d''Affaires]]</f>
        <v>0.2608695652173913</v>
      </c>
      <c r="M41" t="str">
        <f>_xlfn.XLOOKUP(Tbl_Ventes[[#This Row],[ID Client]],Tbl_Clients[Client ID],Tbl_Clients[Client Name])</f>
        <v>Global Export Partners</v>
      </c>
      <c r="N41" t="str">
        <f>_xlfn.XLOOKUP(Tbl_Ventes[[#This Row],[ID Client]],Tbl_Clients[Client ID],Tbl_Clients[Sector])</f>
        <v>Négoce international</v>
      </c>
      <c r="O41" t="str">
        <f>_xlfn.XLOOKUP(Tbl_Ventes[[#This Row],[ID Client]],Tbl_Clients[Client ID],Tbl_Clients[Account  Manager])</f>
        <v>Camille Dubois</v>
      </c>
    </row>
    <row r="42" spans="1:15">
      <c r="A42" t="s">
        <v>169</v>
      </c>
      <c r="B42" s="13">
        <v>45801</v>
      </c>
      <c r="C42" t="s">
        <v>86</v>
      </c>
      <c r="D42" t="s">
        <v>28</v>
      </c>
      <c r="E42" t="s">
        <v>190</v>
      </c>
      <c r="F42" s="35">
        <v>68</v>
      </c>
      <c r="G42" s="37">
        <v>110</v>
      </c>
      <c r="H42" s="36">
        <f>Tbl_Ventes[[#This Row],[Quantité]]*Tbl_Ventes[[#This Row],[Prix Unitaire]]</f>
        <v>7480</v>
      </c>
      <c r="I42" s="37">
        <v>77</v>
      </c>
      <c r="J42" s="36">
        <f>Tbl_Ventes[[#This Row],[Quantité]]*Tbl_Ventes[[#This Row],[Coût Unitaire Direct]]</f>
        <v>5236</v>
      </c>
      <c r="K42" s="36">
        <f>Tbl_Ventes[[#This Row],[Chiffre d''Affaires]]-Tbl_Ventes[[#This Row],[Coût Direct Total]]</f>
        <v>2244</v>
      </c>
      <c r="L42" s="15">
        <f>Tbl_Ventes[[#This Row],[Marge]]/Tbl_Ventes[[#This Row],[Chiffre d''Affaires]]</f>
        <v>0.3</v>
      </c>
      <c r="M42" t="str">
        <f>_xlfn.XLOOKUP(Tbl_Ventes[[#This Row],[ID Client]],Tbl_Clients[Client ID],Tbl_Clients[Client Name])</f>
        <v>Auvergne Automotive Systems</v>
      </c>
      <c r="N42" t="str">
        <f>_xlfn.XLOOKUP(Tbl_Ventes[[#This Row],[ID Client]],Tbl_Clients[Client ID],Tbl_Clients[Sector])</f>
        <v>Automobile</v>
      </c>
      <c r="O42" t="str">
        <f>_xlfn.XLOOKUP(Tbl_Ventes[[#This Row],[ID Client]],Tbl_Clients[Client ID],Tbl_Clients[Account  Manager])</f>
        <v>Julien Marchand</v>
      </c>
    </row>
    <row r="43" spans="1:15">
      <c r="A43" t="s">
        <v>170</v>
      </c>
      <c r="B43" s="13">
        <v>45804</v>
      </c>
      <c r="C43" t="s">
        <v>91</v>
      </c>
      <c r="D43" t="s">
        <v>28</v>
      </c>
      <c r="E43" t="s">
        <v>191</v>
      </c>
      <c r="F43" s="35">
        <v>158</v>
      </c>
      <c r="G43" s="37">
        <v>18</v>
      </c>
      <c r="H43" s="36">
        <f>Tbl_Ventes[[#This Row],[Quantité]]*Tbl_Ventes[[#This Row],[Prix Unitaire]]</f>
        <v>2844</v>
      </c>
      <c r="I43" s="37">
        <v>13</v>
      </c>
      <c r="J43" s="36">
        <f>Tbl_Ventes[[#This Row],[Quantité]]*Tbl_Ventes[[#This Row],[Coût Unitaire Direct]]</f>
        <v>2054</v>
      </c>
      <c r="K43" s="36">
        <f>Tbl_Ventes[[#This Row],[Chiffre d''Affaires]]-Tbl_Ventes[[#This Row],[Coût Direct Total]]</f>
        <v>790</v>
      </c>
      <c r="L43" s="15">
        <f>Tbl_Ventes[[#This Row],[Marge]]/Tbl_Ventes[[#This Row],[Chiffre d''Affaires]]</f>
        <v>0.27777777777777779</v>
      </c>
      <c r="M43" t="str">
        <f>_xlfn.XLOOKUP(Tbl_Ventes[[#This Row],[ID Client]],Tbl_Clients[Client ID],Tbl_Clients[Client Name])</f>
        <v>Rhône Aérostructures</v>
      </c>
      <c r="N43" t="str">
        <f>_xlfn.XLOOKUP(Tbl_Ventes[[#This Row],[ID Client]],Tbl_Clients[Client ID],Tbl_Clients[Sector])</f>
        <v>Aéronautique</v>
      </c>
      <c r="O43" t="str">
        <f>_xlfn.XLOOKUP(Tbl_Ventes[[#This Row],[ID Client]],Tbl_Clients[Client ID],Tbl_Clients[Account  Manager])</f>
        <v>Camille Dubois</v>
      </c>
    </row>
    <row r="44" spans="1:15">
      <c r="A44" t="s">
        <v>171</v>
      </c>
      <c r="B44" s="13">
        <v>45807</v>
      </c>
      <c r="C44" t="s">
        <v>92</v>
      </c>
      <c r="D44" t="s">
        <v>27</v>
      </c>
      <c r="E44" t="s">
        <v>189</v>
      </c>
      <c r="F44" s="35">
        <v>102</v>
      </c>
      <c r="G44" s="37">
        <v>45</v>
      </c>
      <c r="H44" s="36">
        <f>Tbl_Ventes[[#This Row],[Quantité]]*Tbl_Ventes[[#This Row],[Prix Unitaire]]</f>
        <v>4590</v>
      </c>
      <c r="I44" s="37">
        <v>32</v>
      </c>
      <c r="J44" s="36">
        <f>Tbl_Ventes[[#This Row],[Quantité]]*Tbl_Ventes[[#This Row],[Coût Unitaire Direct]]</f>
        <v>3264</v>
      </c>
      <c r="K44" s="36">
        <f>Tbl_Ventes[[#This Row],[Chiffre d''Affaires]]-Tbl_Ventes[[#This Row],[Coût Direct Total]]</f>
        <v>1326</v>
      </c>
      <c r="L44" s="15">
        <f>Tbl_Ventes[[#This Row],[Marge]]/Tbl_Ventes[[#This Row],[Chiffre d''Affaires]]</f>
        <v>0.28888888888888886</v>
      </c>
      <c r="M44" t="str">
        <f>_xlfn.XLOOKUP(Tbl_Ventes[[#This Row],[ID Client]],Tbl_Clients[Client ID],Tbl_Clients[Client Name])</f>
        <v>Norbatir Industries</v>
      </c>
      <c r="N44" t="str">
        <f>_xlfn.XLOOKUP(Tbl_Ventes[[#This Row],[ID Client]],Tbl_Clients[Client ID],Tbl_Clients[Sector])</f>
        <v>BTP</v>
      </c>
      <c r="O44" t="str">
        <f>_xlfn.XLOOKUP(Tbl_Ventes[[#This Row],[ID Client]],Tbl_Clients[Client ID],Tbl_Clients[Account  Manager])</f>
        <v>Julien Marchand</v>
      </c>
    </row>
    <row r="45" spans="1:15">
      <c r="A45" t="s">
        <v>172</v>
      </c>
      <c r="B45" s="13">
        <v>45811</v>
      </c>
      <c r="C45" t="s">
        <v>93</v>
      </c>
      <c r="D45" t="s">
        <v>27</v>
      </c>
      <c r="E45" t="s">
        <v>190</v>
      </c>
      <c r="F45" s="35">
        <v>47</v>
      </c>
      <c r="G45" s="37">
        <v>109</v>
      </c>
      <c r="H45" s="36">
        <f>Tbl_Ventes[[#This Row],[Quantité]]*Tbl_Ventes[[#This Row],[Prix Unitaire]]</f>
        <v>5123</v>
      </c>
      <c r="I45" s="37">
        <v>76</v>
      </c>
      <c r="J45" s="36">
        <f>Tbl_Ventes[[#This Row],[Quantité]]*Tbl_Ventes[[#This Row],[Coût Unitaire Direct]]</f>
        <v>3572</v>
      </c>
      <c r="K45" s="36">
        <f>Tbl_Ventes[[#This Row],[Chiffre d''Affaires]]-Tbl_Ventes[[#This Row],[Coût Direct Total]]</f>
        <v>1551</v>
      </c>
      <c r="L45" s="15">
        <f>Tbl_Ventes[[#This Row],[Marge]]/Tbl_Ventes[[#This Row],[Chiffre d''Affaires]]</f>
        <v>0.30275229357798167</v>
      </c>
      <c r="M45" t="str">
        <f>_xlfn.XLOOKUP(Tbl_Ventes[[#This Row],[ID Client]],Tbl_Clients[Client ID],Tbl_Clients[Client Name])</f>
        <v>ElectroPlast SA</v>
      </c>
      <c r="N45" t="str">
        <f>_xlfn.XLOOKUP(Tbl_Ventes[[#This Row],[ID Client]],Tbl_Clients[Client ID],Tbl_Clients[Sector])</f>
        <v>Électroménager</v>
      </c>
      <c r="O45" t="str">
        <f>_xlfn.XLOOKUP(Tbl_Ventes[[#This Row],[ID Client]],Tbl_Clients[Client ID],Tbl_Clients[Account  Manager])</f>
        <v>Sophie Lenoir</v>
      </c>
    </row>
    <row r="46" spans="1:15">
      <c r="A46" t="s">
        <v>173</v>
      </c>
      <c r="B46" s="13">
        <v>45814</v>
      </c>
      <c r="C46" t="s">
        <v>94</v>
      </c>
      <c r="D46" t="s">
        <v>28</v>
      </c>
      <c r="E46" t="s">
        <v>191</v>
      </c>
      <c r="F46" s="35">
        <v>148</v>
      </c>
      <c r="G46" s="37">
        <v>19</v>
      </c>
      <c r="H46" s="36">
        <f>Tbl_Ventes[[#This Row],[Quantité]]*Tbl_Ventes[[#This Row],[Prix Unitaire]]</f>
        <v>2812</v>
      </c>
      <c r="I46" s="37">
        <v>13</v>
      </c>
      <c r="J46" s="36">
        <f>Tbl_Ventes[[#This Row],[Quantité]]*Tbl_Ventes[[#This Row],[Coût Unitaire Direct]]</f>
        <v>1924</v>
      </c>
      <c r="K46" s="36">
        <f>Tbl_Ventes[[#This Row],[Chiffre d''Affaires]]-Tbl_Ventes[[#This Row],[Coût Direct Total]]</f>
        <v>888</v>
      </c>
      <c r="L46" s="15">
        <f>Tbl_Ventes[[#This Row],[Marge]]/Tbl_Ventes[[#This Row],[Chiffre d''Affaires]]</f>
        <v>0.31578947368421051</v>
      </c>
      <c r="M46" t="str">
        <f>_xlfn.XLOOKUP(Tbl_Ventes[[#This Row],[ID Client]],Tbl_Clients[Client ID],Tbl_Clients[Client Name])</f>
        <v>Dauphiné Composants</v>
      </c>
      <c r="N46" t="str">
        <f>_xlfn.XLOOKUP(Tbl_Ventes[[#This Row],[ID Client]],Tbl_Clients[Client ID],Tbl_Clients[Sector])</f>
        <v>Automobile</v>
      </c>
      <c r="O46" t="str">
        <f>_xlfn.XLOOKUP(Tbl_Ventes[[#This Row],[ID Client]],Tbl_Clients[Client ID],Tbl_Clients[Account  Manager])</f>
        <v>Camille Dubois</v>
      </c>
    </row>
    <row r="47" spans="1:15">
      <c r="A47" t="s">
        <v>174</v>
      </c>
      <c r="B47" s="13">
        <v>45817</v>
      </c>
      <c r="C47" t="s">
        <v>95</v>
      </c>
      <c r="D47" t="s">
        <v>27</v>
      </c>
      <c r="E47" t="s">
        <v>189</v>
      </c>
      <c r="F47" s="35">
        <v>122</v>
      </c>
      <c r="G47" s="37">
        <v>44</v>
      </c>
      <c r="H47" s="36">
        <f>Tbl_Ventes[[#This Row],[Quantité]]*Tbl_Ventes[[#This Row],[Prix Unitaire]]</f>
        <v>5368</v>
      </c>
      <c r="I47" s="37">
        <v>31</v>
      </c>
      <c r="J47" s="36">
        <f>Tbl_Ventes[[#This Row],[Quantité]]*Tbl_Ventes[[#This Row],[Coût Unitaire Direct]]</f>
        <v>3782</v>
      </c>
      <c r="K47" s="36">
        <f>Tbl_Ventes[[#This Row],[Chiffre d''Affaires]]-Tbl_Ventes[[#This Row],[Coût Direct Total]]</f>
        <v>1586</v>
      </c>
      <c r="L47" s="15">
        <f>Tbl_Ventes[[#This Row],[Marge]]/Tbl_Ventes[[#This Row],[Chiffre d''Affaires]]</f>
        <v>0.29545454545454547</v>
      </c>
      <c r="M47" t="str">
        <f>_xlfn.XLOOKUP(Tbl_Ventes[[#This Row],[ID Client]],Tbl_Clients[Client ID],Tbl_Clients[Client Name])</f>
        <v>Nortec Machines</v>
      </c>
      <c r="N47" t="str">
        <f>_xlfn.XLOOKUP(Tbl_Ventes[[#This Row],[ID Client]],Tbl_Clients[Client ID],Tbl_Clients[Sector])</f>
        <v>Machines-outils</v>
      </c>
      <c r="O47" t="str">
        <f>_xlfn.XLOOKUP(Tbl_Ventes[[#This Row],[ID Client]],Tbl_Clients[Client ID],Tbl_Clients[Account  Manager])</f>
        <v>Sophie Lenoir</v>
      </c>
    </row>
    <row r="48" spans="1:15">
      <c r="A48" t="s">
        <v>175</v>
      </c>
      <c r="B48" s="13">
        <v>45820</v>
      </c>
      <c r="C48" t="s">
        <v>96</v>
      </c>
      <c r="D48" t="s">
        <v>28</v>
      </c>
      <c r="E48" t="s">
        <v>190</v>
      </c>
      <c r="F48" s="35">
        <v>58</v>
      </c>
      <c r="G48" s="37">
        <v>112</v>
      </c>
      <c r="H48" s="36">
        <f>Tbl_Ventes[[#This Row],[Quantité]]*Tbl_Ventes[[#This Row],[Prix Unitaire]]</f>
        <v>6496</v>
      </c>
      <c r="I48" s="37">
        <v>80</v>
      </c>
      <c r="J48" s="36">
        <f>Tbl_Ventes[[#This Row],[Quantité]]*Tbl_Ventes[[#This Row],[Coût Unitaire Direct]]</f>
        <v>4640</v>
      </c>
      <c r="K48" s="36">
        <f>Tbl_Ventes[[#This Row],[Chiffre d''Affaires]]-Tbl_Ventes[[#This Row],[Coût Direct Total]]</f>
        <v>1856</v>
      </c>
      <c r="L48" s="15">
        <f>Tbl_Ventes[[#This Row],[Marge]]/Tbl_Ventes[[#This Row],[Chiffre d''Affaires]]</f>
        <v>0.2857142857142857</v>
      </c>
      <c r="M48" t="str">
        <f>_xlfn.XLOOKUP(Tbl_Ventes[[#This Row],[ID Client]],Tbl_Clients[Client ID],Tbl_Clients[Client Name])</f>
        <v>Alpina Métallurgie</v>
      </c>
      <c r="N48" t="str">
        <f>_xlfn.XLOOKUP(Tbl_Ventes[[#This Row],[ID Client]],Tbl_Clients[Client ID],Tbl_Clients[Sector])</f>
        <v>Métallurgie</v>
      </c>
      <c r="O48" t="str">
        <f>_xlfn.XLOOKUP(Tbl_Ventes[[#This Row],[ID Client]],Tbl_Clients[Client ID],Tbl_Clients[Account  Manager])</f>
        <v>Julien Marchand</v>
      </c>
    </row>
    <row r="49" spans="1:15">
      <c r="A49" t="s">
        <v>176</v>
      </c>
      <c r="B49" s="13">
        <v>45823</v>
      </c>
      <c r="C49" t="s">
        <v>97</v>
      </c>
      <c r="D49" t="s">
        <v>28</v>
      </c>
      <c r="E49" t="s">
        <v>191</v>
      </c>
      <c r="F49" s="35">
        <v>168</v>
      </c>
      <c r="G49" s="37">
        <v>18</v>
      </c>
      <c r="H49" s="36">
        <f>Tbl_Ventes[[#This Row],[Quantité]]*Tbl_Ventes[[#This Row],[Prix Unitaire]]</f>
        <v>3024</v>
      </c>
      <c r="I49" s="37">
        <v>12</v>
      </c>
      <c r="J49" s="36">
        <f>Tbl_Ventes[[#This Row],[Quantité]]*Tbl_Ventes[[#This Row],[Coût Unitaire Direct]]</f>
        <v>2016</v>
      </c>
      <c r="K49" s="36">
        <f>Tbl_Ventes[[#This Row],[Chiffre d''Affaires]]-Tbl_Ventes[[#This Row],[Coût Direct Total]]</f>
        <v>1008</v>
      </c>
      <c r="L49" s="15">
        <f>Tbl_Ventes[[#This Row],[Marge]]/Tbl_Ventes[[#This Row],[Chiffre d''Affaires]]</f>
        <v>0.33333333333333331</v>
      </c>
      <c r="M49" t="str">
        <f>_xlfn.XLOOKUP(Tbl_Ventes[[#This Row],[ID Client]],Tbl_Clients[Client ID],Tbl_Clients[Client Name])</f>
        <v>Lyonnaise Câblage</v>
      </c>
      <c r="N49" t="str">
        <f>_xlfn.XLOOKUP(Tbl_Ventes[[#This Row],[ID Client]],Tbl_Clients[Client ID],Tbl_Clients[Sector])</f>
        <v>Électronique</v>
      </c>
      <c r="O49" t="str">
        <f>_xlfn.XLOOKUP(Tbl_Ventes[[#This Row],[ID Client]],Tbl_Clients[Client ID],Tbl_Clients[Account  Manager])</f>
        <v>Camille Dubois</v>
      </c>
    </row>
    <row r="50" spans="1:15">
      <c r="A50" t="s">
        <v>177</v>
      </c>
      <c r="B50" s="13">
        <v>45826</v>
      </c>
      <c r="C50" t="s">
        <v>98</v>
      </c>
      <c r="D50" t="s">
        <v>27</v>
      </c>
      <c r="E50" t="s">
        <v>189</v>
      </c>
      <c r="F50" s="35">
        <v>112</v>
      </c>
      <c r="G50" s="37">
        <v>45</v>
      </c>
      <c r="H50" s="36">
        <f>Tbl_Ventes[[#This Row],[Quantité]]*Tbl_Ventes[[#This Row],[Prix Unitaire]]</f>
        <v>5040</v>
      </c>
      <c r="I50" s="37">
        <v>33</v>
      </c>
      <c r="J50" s="36">
        <f>Tbl_Ventes[[#This Row],[Quantité]]*Tbl_Ventes[[#This Row],[Coût Unitaire Direct]]</f>
        <v>3696</v>
      </c>
      <c r="K50" s="36">
        <f>Tbl_Ventes[[#This Row],[Chiffre d''Affaires]]-Tbl_Ventes[[#This Row],[Coût Direct Total]]</f>
        <v>1344</v>
      </c>
      <c r="L50" s="15">
        <f>Tbl_Ventes[[#This Row],[Marge]]/Tbl_Ventes[[#This Row],[Chiffre d''Affaires]]</f>
        <v>0.26666666666666666</v>
      </c>
      <c r="M50" t="str">
        <f>_xlfn.XLOOKUP(Tbl_Ventes[[#This Row],[ID Client]],Tbl_Clients[Client ID],Tbl_Clients[Client Name])</f>
        <v>Picardie Assemblage</v>
      </c>
      <c r="N50" t="str">
        <f>_xlfn.XLOOKUP(Tbl_Ventes[[#This Row],[ID Client]],Tbl_Clients[Client ID],Tbl_Clients[Sector])</f>
        <v>Automobile</v>
      </c>
      <c r="O50" t="str">
        <f>_xlfn.XLOOKUP(Tbl_Ventes[[#This Row],[ID Client]],Tbl_Clients[Client ID],Tbl_Clients[Account  Manager])</f>
        <v>Sophie Lenoir</v>
      </c>
    </row>
    <row r="51" spans="1:15">
      <c r="A51" t="s">
        <v>178</v>
      </c>
      <c r="B51" s="13">
        <v>45829</v>
      </c>
      <c r="C51" t="s">
        <v>99</v>
      </c>
      <c r="D51" t="s">
        <v>29</v>
      </c>
      <c r="E51" t="s">
        <v>190</v>
      </c>
      <c r="F51" s="35">
        <v>42</v>
      </c>
      <c r="G51" s="37">
        <v>116</v>
      </c>
      <c r="H51" s="36">
        <f>Tbl_Ventes[[#This Row],[Quantité]]*Tbl_Ventes[[#This Row],[Prix Unitaire]]</f>
        <v>4872</v>
      </c>
      <c r="I51" s="37">
        <v>84</v>
      </c>
      <c r="J51" s="36">
        <f>Tbl_Ventes[[#This Row],[Quantité]]*Tbl_Ventes[[#This Row],[Coût Unitaire Direct]]</f>
        <v>3528</v>
      </c>
      <c r="K51" s="36">
        <f>Tbl_Ventes[[#This Row],[Chiffre d''Affaires]]-Tbl_Ventes[[#This Row],[Coût Direct Total]]</f>
        <v>1344</v>
      </c>
      <c r="L51" s="15">
        <f>Tbl_Ventes[[#This Row],[Marge]]/Tbl_Ventes[[#This Row],[Chiffre d''Affaires]]</f>
        <v>0.27586206896551724</v>
      </c>
      <c r="M51" t="str">
        <f>_xlfn.XLOOKUP(Tbl_Ventes[[#This Row],[ID Client]],Tbl_Clients[Client ID],Tbl_Clients[Client Name])</f>
        <v>Global Export Partners</v>
      </c>
      <c r="N51" t="str">
        <f>_xlfn.XLOOKUP(Tbl_Ventes[[#This Row],[ID Client]],Tbl_Clients[Client ID],Tbl_Clients[Sector])</f>
        <v>Négoce international</v>
      </c>
      <c r="O51" t="str">
        <f>_xlfn.XLOOKUP(Tbl_Ventes[[#This Row],[ID Client]],Tbl_Clients[Client ID],Tbl_Clients[Account  Manager])</f>
        <v>Camille Dubois</v>
      </c>
    </row>
    <row r="52" spans="1:15">
      <c r="A52" t="s">
        <v>179</v>
      </c>
      <c r="B52" s="13">
        <v>45833</v>
      </c>
      <c r="C52" t="s">
        <v>86</v>
      </c>
      <c r="D52" t="s">
        <v>28</v>
      </c>
      <c r="E52" t="s">
        <v>191</v>
      </c>
      <c r="F52" s="35">
        <v>178</v>
      </c>
      <c r="G52" s="37">
        <v>18</v>
      </c>
      <c r="H52" s="36">
        <f>Tbl_Ventes[[#This Row],[Quantité]]*Tbl_Ventes[[#This Row],[Prix Unitaire]]</f>
        <v>3204</v>
      </c>
      <c r="I52" s="37">
        <v>13</v>
      </c>
      <c r="J52" s="36">
        <f>Tbl_Ventes[[#This Row],[Quantité]]*Tbl_Ventes[[#This Row],[Coût Unitaire Direct]]</f>
        <v>2314</v>
      </c>
      <c r="K52" s="36">
        <f>Tbl_Ventes[[#This Row],[Chiffre d''Affaires]]-Tbl_Ventes[[#This Row],[Coût Direct Total]]</f>
        <v>890</v>
      </c>
      <c r="L52" s="15">
        <f>Tbl_Ventes[[#This Row],[Marge]]/Tbl_Ventes[[#This Row],[Chiffre d''Affaires]]</f>
        <v>0.27777777777777779</v>
      </c>
      <c r="M52" t="str">
        <f>_xlfn.XLOOKUP(Tbl_Ventes[[#This Row],[ID Client]],Tbl_Clients[Client ID],Tbl_Clients[Client Name])</f>
        <v>Auvergne Automotive Systems</v>
      </c>
      <c r="N52" t="str">
        <f>_xlfn.XLOOKUP(Tbl_Ventes[[#This Row],[ID Client]],Tbl_Clients[Client ID],Tbl_Clients[Sector])</f>
        <v>Automobile</v>
      </c>
      <c r="O52" t="str">
        <f>_xlfn.XLOOKUP(Tbl_Ventes[[#This Row],[ID Client]],Tbl_Clients[Client ID],Tbl_Clients[Account  Manager])</f>
        <v>Julien Marchand</v>
      </c>
    </row>
    <row r="53" spans="1:15">
      <c r="A53" t="s">
        <v>180</v>
      </c>
      <c r="B53" s="13">
        <v>45836</v>
      </c>
      <c r="C53" t="s">
        <v>91</v>
      </c>
      <c r="D53" t="s">
        <v>28</v>
      </c>
      <c r="E53" t="s">
        <v>189</v>
      </c>
      <c r="F53" s="35">
        <v>128</v>
      </c>
      <c r="G53" s="37">
        <v>44</v>
      </c>
      <c r="H53" s="36">
        <f>Tbl_Ventes[[#This Row],[Quantité]]*Tbl_Ventes[[#This Row],[Prix Unitaire]]</f>
        <v>5632</v>
      </c>
      <c r="I53" s="37">
        <v>32</v>
      </c>
      <c r="J53" s="36">
        <f>Tbl_Ventes[[#This Row],[Quantité]]*Tbl_Ventes[[#This Row],[Coût Unitaire Direct]]</f>
        <v>4096</v>
      </c>
      <c r="K53" s="36">
        <f>Tbl_Ventes[[#This Row],[Chiffre d''Affaires]]-Tbl_Ventes[[#This Row],[Coût Direct Total]]</f>
        <v>1536</v>
      </c>
      <c r="L53" s="15">
        <f>Tbl_Ventes[[#This Row],[Marge]]/Tbl_Ventes[[#This Row],[Chiffre d''Affaires]]</f>
        <v>0.27272727272727271</v>
      </c>
      <c r="M53" t="str">
        <f>_xlfn.XLOOKUP(Tbl_Ventes[[#This Row],[ID Client]],Tbl_Clients[Client ID],Tbl_Clients[Client Name])</f>
        <v>Rhône Aérostructures</v>
      </c>
      <c r="N53" t="str">
        <f>_xlfn.XLOOKUP(Tbl_Ventes[[#This Row],[ID Client]],Tbl_Clients[Client ID],Tbl_Clients[Sector])</f>
        <v>Aéronautique</v>
      </c>
      <c r="O53" t="str">
        <f>_xlfn.XLOOKUP(Tbl_Ventes[[#This Row],[ID Client]],Tbl_Clients[Client ID],Tbl_Clients[Account  Manager])</f>
        <v>Camille Dubois</v>
      </c>
    </row>
    <row r="54" spans="1:15">
      <c r="A54" t="s">
        <v>181</v>
      </c>
      <c r="B54" s="13">
        <v>45839</v>
      </c>
      <c r="C54" t="s">
        <v>92</v>
      </c>
      <c r="D54" t="s">
        <v>27</v>
      </c>
      <c r="E54" t="s">
        <v>190</v>
      </c>
      <c r="F54" s="35">
        <v>53</v>
      </c>
      <c r="G54" s="37">
        <v>108</v>
      </c>
      <c r="H54" s="36">
        <f>Tbl_Ventes[[#This Row],[Quantité]]*Tbl_Ventes[[#This Row],[Prix Unitaire]]</f>
        <v>5724</v>
      </c>
      <c r="I54" s="37">
        <v>75</v>
      </c>
      <c r="J54" s="36">
        <f>Tbl_Ventes[[#This Row],[Quantité]]*Tbl_Ventes[[#This Row],[Coût Unitaire Direct]]</f>
        <v>3975</v>
      </c>
      <c r="K54" s="36">
        <f>Tbl_Ventes[[#This Row],[Chiffre d''Affaires]]-Tbl_Ventes[[#This Row],[Coût Direct Total]]</f>
        <v>1749</v>
      </c>
      <c r="L54" s="15">
        <f>Tbl_Ventes[[#This Row],[Marge]]/Tbl_Ventes[[#This Row],[Chiffre d''Affaires]]</f>
        <v>0.30555555555555558</v>
      </c>
      <c r="M54" t="str">
        <f>_xlfn.XLOOKUP(Tbl_Ventes[[#This Row],[ID Client]],Tbl_Clients[Client ID],Tbl_Clients[Client Name])</f>
        <v>Norbatir Industries</v>
      </c>
      <c r="N54" t="str">
        <f>_xlfn.XLOOKUP(Tbl_Ventes[[#This Row],[ID Client]],Tbl_Clients[Client ID],Tbl_Clients[Sector])</f>
        <v>BTP</v>
      </c>
      <c r="O54" t="str">
        <f>_xlfn.XLOOKUP(Tbl_Ventes[[#This Row],[ID Client]],Tbl_Clients[Client ID],Tbl_Clients[Account  Manager])</f>
        <v>Julien Marchand</v>
      </c>
    </row>
    <row r="55" spans="1:15">
      <c r="A55" t="s">
        <v>182</v>
      </c>
      <c r="B55" s="13">
        <v>45842</v>
      </c>
      <c r="C55" t="s">
        <v>93</v>
      </c>
      <c r="D55" t="s">
        <v>27</v>
      </c>
      <c r="E55" t="s">
        <v>191</v>
      </c>
      <c r="F55" s="35">
        <v>162</v>
      </c>
      <c r="G55" s="37">
        <v>19</v>
      </c>
      <c r="H55" s="36">
        <f>Tbl_Ventes[[#This Row],[Quantité]]*Tbl_Ventes[[#This Row],[Prix Unitaire]]</f>
        <v>3078</v>
      </c>
      <c r="I55" s="37">
        <v>12</v>
      </c>
      <c r="J55" s="36">
        <f>Tbl_Ventes[[#This Row],[Quantité]]*Tbl_Ventes[[#This Row],[Coût Unitaire Direct]]</f>
        <v>1944</v>
      </c>
      <c r="K55" s="36">
        <f>Tbl_Ventes[[#This Row],[Chiffre d''Affaires]]-Tbl_Ventes[[#This Row],[Coût Direct Total]]</f>
        <v>1134</v>
      </c>
      <c r="L55" s="15">
        <f>Tbl_Ventes[[#This Row],[Marge]]/Tbl_Ventes[[#This Row],[Chiffre d''Affaires]]</f>
        <v>0.36842105263157893</v>
      </c>
      <c r="M55" t="str">
        <f>_xlfn.XLOOKUP(Tbl_Ventes[[#This Row],[ID Client]],Tbl_Clients[Client ID],Tbl_Clients[Client Name])</f>
        <v>ElectroPlast SA</v>
      </c>
      <c r="N55" t="str">
        <f>_xlfn.XLOOKUP(Tbl_Ventes[[#This Row],[ID Client]],Tbl_Clients[Client ID],Tbl_Clients[Sector])</f>
        <v>Électroménager</v>
      </c>
      <c r="O55" t="str">
        <f>_xlfn.XLOOKUP(Tbl_Ventes[[#This Row],[ID Client]],Tbl_Clients[Client ID],Tbl_Clients[Account  Manager])</f>
        <v>Sophie Lenoir</v>
      </c>
    </row>
    <row r="56" spans="1:15">
      <c r="A56" t="s">
        <v>183</v>
      </c>
      <c r="B56" s="13">
        <v>45845</v>
      </c>
      <c r="C56" t="s">
        <v>94</v>
      </c>
      <c r="D56" t="s">
        <v>28</v>
      </c>
      <c r="E56" t="s">
        <v>189</v>
      </c>
      <c r="F56" s="35">
        <v>132</v>
      </c>
      <c r="G56" s="37">
        <v>46</v>
      </c>
      <c r="H56" s="36">
        <f>Tbl_Ventes[[#This Row],[Quantité]]*Tbl_Ventes[[#This Row],[Prix Unitaire]]</f>
        <v>6072</v>
      </c>
      <c r="I56" s="37">
        <v>34</v>
      </c>
      <c r="J56" s="36">
        <f>Tbl_Ventes[[#This Row],[Quantité]]*Tbl_Ventes[[#This Row],[Coût Unitaire Direct]]</f>
        <v>4488</v>
      </c>
      <c r="K56" s="36">
        <f>Tbl_Ventes[[#This Row],[Chiffre d''Affaires]]-Tbl_Ventes[[#This Row],[Coût Direct Total]]</f>
        <v>1584</v>
      </c>
      <c r="L56" s="15">
        <f>Tbl_Ventes[[#This Row],[Marge]]/Tbl_Ventes[[#This Row],[Chiffre d''Affaires]]</f>
        <v>0.2608695652173913</v>
      </c>
      <c r="M56" t="str">
        <f>_xlfn.XLOOKUP(Tbl_Ventes[[#This Row],[ID Client]],Tbl_Clients[Client ID],Tbl_Clients[Client Name])</f>
        <v>Dauphiné Composants</v>
      </c>
      <c r="N56" t="str">
        <f>_xlfn.XLOOKUP(Tbl_Ventes[[#This Row],[ID Client]],Tbl_Clients[Client ID],Tbl_Clients[Sector])</f>
        <v>Automobile</v>
      </c>
      <c r="O56" t="str">
        <f>_xlfn.XLOOKUP(Tbl_Ventes[[#This Row],[ID Client]],Tbl_Clients[Client ID],Tbl_Clients[Account  Manager])</f>
        <v>Camille Dubois</v>
      </c>
    </row>
    <row r="57" spans="1:15">
      <c r="A57" t="s">
        <v>184</v>
      </c>
      <c r="B57" s="13">
        <v>45848</v>
      </c>
      <c r="C57" t="s">
        <v>95</v>
      </c>
      <c r="D57" t="s">
        <v>27</v>
      </c>
      <c r="E57" t="s">
        <v>190</v>
      </c>
      <c r="F57" s="35">
        <v>44</v>
      </c>
      <c r="G57" s="37">
        <v>110</v>
      </c>
      <c r="H57" s="36">
        <f>Tbl_Ventes[[#This Row],[Quantité]]*Tbl_Ventes[[#This Row],[Prix Unitaire]]</f>
        <v>4840</v>
      </c>
      <c r="I57" s="37">
        <v>77</v>
      </c>
      <c r="J57" s="36">
        <f>Tbl_Ventes[[#This Row],[Quantité]]*Tbl_Ventes[[#This Row],[Coût Unitaire Direct]]</f>
        <v>3388</v>
      </c>
      <c r="K57" s="36">
        <f>Tbl_Ventes[[#This Row],[Chiffre d''Affaires]]-Tbl_Ventes[[#This Row],[Coût Direct Total]]</f>
        <v>1452</v>
      </c>
      <c r="L57" s="15">
        <f>Tbl_Ventes[[#This Row],[Marge]]/Tbl_Ventes[[#This Row],[Chiffre d''Affaires]]</f>
        <v>0.3</v>
      </c>
      <c r="M57" t="str">
        <f>_xlfn.XLOOKUP(Tbl_Ventes[[#This Row],[ID Client]],Tbl_Clients[Client ID],Tbl_Clients[Client Name])</f>
        <v>Nortec Machines</v>
      </c>
      <c r="N57" t="str">
        <f>_xlfn.XLOOKUP(Tbl_Ventes[[#This Row],[ID Client]],Tbl_Clients[Client ID],Tbl_Clients[Sector])</f>
        <v>Machines-outils</v>
      </c>
      <c r="O57" t="str">
        <f>_xlfn.XLOOKUP(Tbl_Ventes[[#This Row],[ID Client]],Tbl_Clients[Client ID],Tbl_Clients[Account  Manager])</f>
        <v>Sophie Lenoir</v>
      </c>
    </row>
    <row r="58" spans="1:15">
      <c r="A58" t="s">
        <v>185</v>
      </c>
      <c r="B58" s="13">
        <v>45851</v>
      </c>
      <c r="C58" t="s">
        <v>96</v>
      </c>
      <c r="D58" t="s">
        <v>28</v>
      </c>
      <c r="E58" t="s">
        <v>191</v>
      </c>
      <c r="F58" s="35">
        <v>172</v>
      </c>
      <c r="G58" s="37">
        <v>18</v>
      </c>
      <c r="H58" s="36">
        <f>Tbl_Ventes[[#This Row],[Quantité]]*Tbl_Ventes[[#This Row],[Prix Unitaire]]</f>
        <v>3096</v>
      </c>
      <c r="I58" s="37">
        <v>13</v>
      </c>
      <c r="J58" s="36">
        <f>Tbl_Ventes[[#This Row],[Quantité]]*Tbl_Ventes[[#This Row],[Coût Unitaire Direct]]</f>
        <v>2236</v>
      </c>
      <c r="K58" s="36">
        <f>Tbl_Ventes[[#This Row],[Chiffre d''Affaires]]-Tbl_Ventes[[#This Row],[Coût Direct Total]]</f>
        <v>860</v>
      </c>
      <c r="L58" s="15">
        <f>Tbl_Ventes[[#This Row],[Marge]]/Tbl_Ventes[[#This Row],[Chiffre d''Affaires]]</f>
        <v>0.27777777777777779</v>
      </c>
      <c r="M58" t="str">
        <f>_xlfn.XLOOKUP(Tbl_Ventes[[#This Row],[ID Client]],Tbl_Clients[Client ID],Tbl_Clients[Client Name])</f>
        <v>Alpina Métallurgie</v>
      </c>
      <c r="N58" t="str">
        <f>_xlfn.XLOOKUP(Tbl_Ventes[[#This Row],[ID Client]],Tbl_Clients[Client ID],Tbl_Clients[Sector])</f>
        <v>Métallurgie</v>
      </c>
      <c r="O58" t="str">
        <f>_xlfn.XLOOKUP(Tbl_Ventes[[#This Row],[ID Client]],Tbl_Clients[Client ID],Tbl_Clients[Account  Manager])</f>
        <v>Julien Marchand</v>
      </c>
    </row>
    <row r="59" spans="1:15">
      <c r="A59" t="s">
        <v>186</v>
      </c>
      <c r="B59" s="13">
        <v>45854</v>
      </c>
      <c r="C59" t="s">
        <v>97</v>
      </c>
      <c r="D59" t="s">
        <v>28</v>
      </c>
      <c r="E59" t="s">
        <v>189</v>
      </c>
      <c r="F59" s="35">
        <v>108</v>
      </c>
      <c r="G59" s="37">
        <v>45</v>
      </c>
      <c r="H59" s="36">
        <f>Tbl_Ventes[[#This Row],[Quantité]]*Tbl_Ventes[[#This Row],[Prix Unitaire]]</f>
        <v>4860</v>
      </c>
      <c r="I59" s="37">
        <v>32</v>
      </c>
      <c r="J59" s="36">
        <f>Tbl_Ventes[[#This Row],[Quantité]]*Tbl_Ventes[[#This Row],[Coût Unitaire Direct]]</f>
        <v>3456</v>
      </c>
      <c r="K59" s="36">
        <f>Tbl_Ventes[[#This Row],[Chiffre d''Affaires]]-Tbl_Ventes[[#This Row],[Coût Direct Total]]</f>
        <v>1404</v>
      </c>
      <c r="L59" s="15">
        <f>Tbl_Ventes[[#This Row],[Marge]]/Tbl_Ventes[[#This Row],[Chiffre d''Affaires]]</f>
        <v>0.28888888888888886</v>
      </c>
      <c r="M59" t="str">
        <f>_xlfn.XLOOKUP(Tbl_Ventes[[#This Row],[ID Client]],Tbl_Clients[Client ID],Tbl_Clients[Client Name])</f>
        <v>Lyonnaise Câblage</v>
      </c>
      <c r="N59" t="str">
        <f>_xlfn.XLOOKUP(Tbl_Ventes[[#This Row],[ID Client]],Tbl_Clients[Client ID],Tbl_Clients[Sector])</f>
        <v>Électronique</v>
      </c>
      <c r="O59" t="str">
        <f>_xlfn.XLOOKUP(Tbl_Ventes[[#This Row],[ID Client]],Tbl_Clients[Client ID],Tbl_Clients[Account  Manager])</f>
        <v>Camille Dubois</v>
      </c>
    </row>
    <row r="60" spans="1:15">
      <c r="A60" t="s">
        <v>187</v>
      </c>
      <c r="B60" s="13">
        <v>45857</v>
      </c>
      <c r="C60" t="s">
        <v>98</v>
      </c>
      <c r="D60" t="s">
        <v>27</v>
      </c>
      <c r="E60" t="s">
        <v>190</v>
      </c>
      <c r="F60" s="35">
        <v>50</v>
      </c>
      <c r="G60" s="37">
        <v>109</v>
      </c>
      <c r="H60" s="36">
        <f>Tbl_Ventes[[#This Row],[Quantité]]*Tbl_Ventes[[#This Row],[Prix Unitaire]]</f>
        <v>5450</v>
      </c>
      <c r="I60" s="37">
        <v>76</v>
      </c>
      <c r="J60" s="36">
        <f>Tbl_Ventes[[#This Row],[Quantité]]*Tbl_Ventes[[#This Row],[Coût Unitaire Direct]]</f>
        <v>3800</v>
      </c>
      <c r="K60" s="36">
        <f>Tbl_Ventes[[#This Row],[Chiffre d''Affaires]]-Tbl_Ventes[[#This Row],[Coût Direct Total]]</f>
        <v>1650</v>
      </c>
      <c r="L60" s="15">
        <f>Tbl_Ventes[[#This Row],[Marge]]/Tbl_Ventes[[#This Row],[Chiffre d''Affaires]]</f>
        <v>0.30275229357798167</v>
      </c>
      <c r="M60" t="str">
        <f>_xlfn.XLOOKUP(Tbl_Ventes[[#This Row],[ID Client]],Tbl_Clients[Client ID],Tbl_Clients[Client Name])</f>
        <v>Picardie Assemblage</v>
      </c>
      <c r="N60" t="str">
        <f>_xlfn.XLOOKUP(Tbl_Ventes[[#This Row],[ID Client]],Tbl_Clients[Client ID],Tbl_Clients[Sector])</f>
        <v>Automobile</v>
      </c>
      <c r="O60" t="str">
        <f>_xlfn.XLOOKUP(Tbl_Ventes[[#This Row],[ID Client]],Tbl_Clients[Client ID],Tbl_Clients[Account  Manager])</f>
        <v>Sophie Lenoir</v>
      </c>
    </row>
    <row r="61" spans="1:15">
      <c r="A61" t="s">
        <v>188</v>
      </c>
      <c r="B61" s="13">
        <v>45860</v>
      </c>
      <c r="C61" t="s">
        <v>99</v>
      </c>
      <c r="D61" t="s">
        <v>29</v>
      </c>
      <c r="E61" t="s">
        <v>191</v>
      </c>
      <c r="F61" s="35">
        <v>215</v>
      </c>
      <c r="G61" s="37">
        <v>19</v>
      </c>
      <c r="H61" s="36">
        <f>Tbl_Ventes[[#This Row],[Quantité]]*Tbl_Ventes[[#This Row],[Prix Unitaire]]</f>
        <v>4085</v>
      </c>
      <c r="I61" s="37">
        <v>14</v>
      </c>
      <c r="J61" s="36">
        <f>Tbl_Ventes[[#This Row],[Quantité]]*Tbl_Ventes[[#This Row],[Coût Unitaire Direct]]</f>
        <v>3010</v>
      </c>
      <c r="K61" s="36">
        <f>Tbl_Ventes[[#This Row],[Chiffre d''Affaires]]-Tbl_Ventes[[#This Row],[Coût Direct Total]]</f>
        <v>1075</v>
      </c>
      <c r="L61" s="15">
        <f>Tbl_Ventes[[#This Row],[Marge]]/Tbl_Ventes[[#This Row],[Chiffre d''Affaires]]</f>
        <v>0.26315789473684209</v>
      </c>
      <c r="M61" t="str">
        <f>_xlfn.XLOOKUP(Tbl_Ventes[[#This Row],[ID Client]],Tbl_Clients[Client ID],Tbl_Clients[Client Name])</f>
        <v>Global Export Partners</v>
      </c>
      <c r="N61" t="str">
        <f>_xlfn.XLOOKUP(Tbl_Ventes[[#This Row],[ID Client]],Tbl_Clients[Client ID],Tbl_Clients[Sector])</f>
        <v>Négoce international</v>
      </c>
      <c r="O61" t="str">
        <f>_xlfn.XLOOKUP(Tbl_Ventes[[#This Row],[ID Client]],Tbl_Clients[Client ID],Tbl_Clients[Account  Manager])</f>
        <v>Camille Dubois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FDEA3-22FC-4878-BD13-ED2FED726F77}">
  <dimension ref="A3:D13"/>
  <sheetViews>
    <sheetView tabSelected="1" workbookViewId="0">
      <selection activeCell="A11" sqref="A11"/>
    </sheetView>
  </sheetViews>
  <sheetFormatPr defaultRowHeight="14.4"/>
  <cols>
    <col min="1" max="1" width="12.44140625" bestFit="1" customWidth="1"/>
    <col min="2" max="2" width="12.77734375" bestFit="1" customWidth="1"/>
    <col min="3" max="3" width="11.77734375" bestFit="1" customWidth="1"/>
    <col min="4" max="4" width="22.88671875" style="15" bestFit="1" customWidth="1"/>
  </cols>
  <sheetData>
    <row r="3" spans="1:4">
      <c r="A3" s="5" t="s">
        <v>33</v>
      </c>
      <c r="B3" t="s">
        <v>195</v>
      </c>
      <c r="C3" s="12" t="s">
        <v>196</v>
      </c>
      <c r="D3" s="15" t="s">
        <v>256</v>
      </c>
    </row>
    <row r="4" spans="1:4">
      <c r="A4" s="16" t="s">
        <v>190</v>
      </c>
      <c r="B4" s="12">
        <v>117702</v>
      </c>
      <c r="C4" s="12">
        <v>34913</v>
      </c>
      <c r="D4" s="15">
        <v>0.29662197753649044</v>
      </c>
    </row>
    <row r="5" spans="1:4">
      <c r="A5" s="16" t="s">
        <v>189</v>
      </c>
      <c r="B5" s="12">
        <v>108734</v>
      </c>
      <c r="C5" s="12">
        <v>30163</v>
      </c>
      <c r="D5" s="15">
        <v>0.27740173266871448</v>
      </c>
    </row>
    <row r="6" spans="1:4">
      <c r="A6" s="16" t="s">
        <v>191</v>
      </c>
      <c r="B6" s="12">
        <v>63023</v>
      </c>
      <c r="C6" s="12">
        <v>19000</v>
      </c>
      <c r="D6" s="15">
        <v>0.30147723846849561</v>
      </c>
    </row>
    <row r="7" spans="1:4">
      <c r="A7" s="17" t="s">
        <v>34</v>
      </c>
      <c r="B7" s="12">
        <v>289459</v>
      </c>
      <c r="C7" s="12">
        <v>84076</v>
      </c>
      <c r="D7" s="15">
        <v>0.29045909783423557</v>
      </c>
    </row>
    <row r="10" spans="1:4">
      <c r="A10" s="29" t="s">
        <v>257</v>
      </c>
      <c r="B10" s="29" t="s">
        <v>195</v>
      </c>
      <c r="C10" s="29" t="s">
        <v>196</v>
      </c>
      <c r="D10" s="30" t="s">
        <v>255</v>
      </c>
    </row>
    <row r="11" spans="1:4">
      <c r="A11" s="31" t="s">
        <v>190</v>
      </c>
      <c r="B11" s="38">
        <v>117702</v>
      </c>
      <c r="C11" s="38">
        <v>34913</v>
      </c>
      <c r="D11" s="32">
        <v>0.29662197753649044</v>
      </c>
    </row>
    <row r="12" spans="1:4">
      <c r="A12" s="31" t="s">
        <v>189</v>
      </c>
      <c r="B12" s="38">
        <v>108734</v>
      </c>
      <c r="C12" s="38">
        <v>30163</v>
      </c>
      <c r="D12" s="32">
        <v>0.27740173266871448</v>
      </c>
    </row>
    <row r="13" spans="1:4">
      <c r="A13" s="31" t="s">
        <v>191</v>
      </c>
      <c r="B13" s="38">
        <v>63023</v>
      </c>
      <c r="C13" s="38">
        <v>19000</v>
      </c>
      <c r="D13" s="32">
        <v>0.30147723846849561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B329-9C0B-4FF8-A35D-D44D303BEDB6}">
  <dimension ref="A3:L45"/>
  <sheetViews>
    <sheetView topLeftCell="A2" zoomScale="99" zoomScaleNormal="99" workbookViewId="0">
      <selection activeCell="A4" sqref="A4"/>
    </sheetView>
  </sheetViews>
  <sheetFormatPr defaultRowHeight="14.4"/>
  <cols>
    <col min="1" max="1" width="28.21875" bestFit="1" customWidth="1"/>
    <col min="2" max="2" width="10.33203125" style="12" bestFit="1" customWidth="1"/>
    <col min="3" max="3" width="14.5546875" style="12" bestFit="1" customWidth="1"/>
    <col min="4" max="4" width="30.5546875" bestFit="1" customWidth="1"/>
    <col min="7" max="7" width="25.109375" bestFit="1" customWidth="1"/>
    <col min="9" max="9" width="25.109375" bestFit="1" customWidth="1"/>
    <col min="10" max="10" width="6" bestFit="1" customWidth="1"/>
    <col min="12" max="12" width="8.88671875" style="15"/>
  </cols>
  <sheetData>
    <row r="3" spans="1:10">
      <c r="A3" s="5" t="s">
        <v>33</v>
      </c>
      <c r="B3" s="12" t="s">
        <v>195</v>
      </c>
      <c r="C3" s="12" t="s">
        <v>207</v>
      </c>
      <c r="D3" s="15" t="s">
        <v>208</v>
      </c>
      <c r="G3" s="27" t="s">
        <v>117</v>
      </c>
      <c r="H3" s="39">
        <v>35917</v>
      </c>
      <c r="I3" s="39">
        <v>9729</v>
      </c>
      <c r="J3" s="28">
        <v>0.2708745162457889</v>
      </c>
    </row>
    <row r="4" spans="1:10">
      <c r="A4" s="6" t="s">
        <v>117</v>
      </c>
      <c r="B4" s="12">
        <v>35917</v>
      </c>
      <c r="C4" s="12">
        <v>9729</v>
      </c>
      <c r="D4" s="15">
        <v>0.2708745162457889</v>
      </c>
      <c r="G4" t="s">
        <v>87</v>
      </c>
      <c r="H4" s="36">
        <v>32084</v>
      </c>
      <c r="I4" s="36">
        <v>9440</v>
      </c>
      <c r="J4" s="15">
        <v>0.29422765241241738</v>
      </c>
    </row>
    <row r="5" spans="1:10">
      <c r="A5" s="6" t="s">
        <v>87</v>
      </c>
      <c r="B5" s="12">
        <v>32084</v>
      </c>
      <c r="C5" s="12">
        <v>9440</v>
      </c>
      <c r="D5" s="15">
        <v>0.29422765241241738</v>
      </c>
      <c r="G5" s="27" t="s">
        <v>100</v>
      </c>
      <c r="H5" s="39">
        <v>29960</v>
      </c>
      <c r="I5" s="39">
        <v>8587</v>
      </c>
      <c r="J5" s="28">
        <v>0.28661548731642189</v>
      </c>
    </row>
    <row r="6" spans="1:10">
      <c r="A6" s="6" t="s">
        <v>100</v>
      </c>
      <c r="B6" s="12">
        <v>29960</v>
      </c>
      <c r="C6" s="12">
        <v>8587</v>
      </c>
      <c r="D6" s="15">
        <v>0.28661548731642189</v>
      </c>
      <c r="G6" t="s">
        <v>112</v>
      </c>
      <c r="H6" s="36">
        <v>29477</v>
      </c>
      <c r="I6" s="36">
        <v>8477</v>
      </c>
      <c r="J6" s="15">
        <v>0.28758014723343622</v>
      </c>
    </row>
    <row r="7" spans="1:10">
      <c r="A7" s="6" t="s">
        <v>112</v>
      </c>
      <c r="B7" s="12">
        <v>29477</v>
      </c>
      <c r="C7" s="12">
        <v>8477</v>
      </c>
      <c r="D7" s="15">
        <v>0.28758014723343622</v>
      </c>
      <c r="G7" s="27" t="s">
        <v>110</v>
      </c>
      <c r="H7" s="39">
        <v>27383</v>
      </c>
      <c r="I7" s="39">
        <v>8364</v>
      </c>
      <c r="J7" s="28">
        <v>0.30544498411423143</v>
      </c>
    </row>
    <row r="8" spans="1:10">
      <c r="A8" s="6" t="s">
        <v>110</v>
      </c>
      <c r="B8" s="12">
        <v>27383</v>
      </c>
      <c r="C8" s="12">
        <v>8364</v>
      </c>
      <c r="D8" s="15">
        <v>0.30544498411423143</v>
      </c>
      <c r="G8" t="s">
        <v>109</v>
      </c>
      <c r="H8" s="36">
        <v>28149</v>
      </c>
      <c r="I8" s="36">
        <v>8252</v>
      </c>
      <c r="J8" s="15">
        <v>0.29315428612028849</v>
      </c>
    </row>
    <row r="9" spans="1:10">
      <c r="A9" s="6" t="s">
        <v>109</v>
      </c>
      <c r="B9" s="12">
        <v>28149</v>
      </c>
      <c r="C9" s="12">
        <v>8252</v>
      </c>
      <c r="D9" s="15">
        <v>0.29315428612028849</v>
      </c>
      <c r="G9" s="27" t="s">
        <v>103</v>
      </c>
      <c r="H9" s="39">
        <v>27121</v>
      </c>
      <c r="I9" s="39">
        <v>8094</v>
      </c>
      <c r="J9" s="28">
        <v>0.29844032299693962</v>
      </c>
    </row>
    <row r="10" spans="1:10">
      <c r="A10" s="6" t="s">
        <v>103</v>
      </c>
      <c r="B10" s="12">
        <v>27121</v>
      </c>
      <c r="C10" s="12">
        <v>8094</v>
      </c>
      <c r="D10" s="15">
        <v>0.29844032299693962</v>
      </c>
      <c r="G10" t="s">
        <v>114</v>
      </c>
      <c r="H10" s="36">
        <v>27184</v>
      </c>
      <c r="I10" s="36">
        <v>7972</v>
      </c>
      <c r="J10" s="15">
        <v>0.29326074161271337</v>
      </c>
    </row>
    <row r="11" spans="1:10">
      <c r="A11" s="6" t="s">
        <v>114</v>
      </c>
      <c r="B11" s="12">
        <v>27184</v>
      </c>
      <c r="C11" s="12">
        <v>7972</v>
      </c>
      <c r="D11" s="15">
        <v>0.29326074161271337</v>
      </c>
      <c r="G11" s="27" t="s">
        <v>116</v>
      </c>
      <c r="H11" s="39">
        <v>27176</v>
      </c>
      <c r="I11" s="39">
        <v>7740</v>
      </c>
      <c r="J11" s="28">
        <v>0.2848101265822785</v>
      </c>
    </row>
    <row r="12" spans="1:10">
      <c r="A12" s="6" t="s">
        <v>116</v>
      </c>
      <c r="B12" s="12">
        <v>27176</v>
      </c>
      <c r="C12" s="12">
        <v>7740</v>
      </c>
      <c r="D12" s="15">
        <v>0.2848101265822785</v>
      </c>
      <c r="G12" t="s">
        <v>106</v>
      </c>
      <c r="H12" s="36">
        <v>25008</v>
      </c>
      <c r="I12" s="36">
        <v>7421</v>
      </c>
      <c r="J12" s="15">
        <v>0.29674504158669224</v>
      </c>
    </row>
    <row r="13" spans="1:10">
      <c r="A13" s="6" t="s">
        <v>106</v>
      </c>
      <c r="B13" s="12">
        <v>25008</v>
      </c>
      <c r="C13" s="12">
        <v>7421</v>
      </c>
      <c r="D13" s="15">
        <v>0.29674504158669224</v>
      </c>
    </row>
    <row r="14" spans="1:10">
      <c r="A14" s="6" t="s">
        <v>34</v>
      </c>
      <c r="B14" s="12">
        <v>289459</v>
      </c>
      <c r="C14" s="12">
        <v>84076</v>
      </c>
      <c r="D14" s="15">
        <v>0.29045909783423557</v>
      </c>
    </row>
    <row r="15" spans="1:10">
      <c r="B15"/>
      <c r="C15"/>
    </row>
    <row r="16" spans="1:10">
      <c r="B16"/>
      <c r="C16"/>
    </row>
    <row r="17" spans="2:4">
      <c r="B17"/>
      <c r="C17"/>
    </row>
    <row r="18" spans="2:4">
      <c r="B18"/>
      <c r="C18"/>
    </row>
    <row r="19" spans="2:4">
      <c r="B19"/>
      <c r="C19"/>
    </row>
    <row r="20" spans="2:4">
      <c r="B20"/>
      <c r="C20"/>
    </row>
    <row r="21" spans="2:4">
      <c r="B21"/>
      <c r="C21"/>
    </row>
    <row r="22" spans="2:4">
      <c r="B22"/>
      <c r="C22"/>
    </row>
    <row r="23" spans="2:4">
      <c r="B23"/>
      <c r="C23"/>
    </row>
    <row r="24" spans="2:4">
      <c r="B24"/>
      <c r="C24"/>
    </row>
    <row r="26" spans="2:4">
      <c r="B26"/>
      <c r="C26"/>
      <c r="D26" s="15"/>
    </row>
    <row r="27" spans="2:4">
      <c r="B27"/>
      <c r="C27"/>
      <c r="D27" s="15"/>
    </row>
    <row r="28" spans="2:4">
      <c r="B28"/>
      <c r="C28"/>
      <c r="D28" s="15"/>
    </row>
    <row r="29" spans="2:4">
      <c r="B29"/>
      <c r="C29"/>
      <c r="D29" s="15"/>
    </row>
    <row r="30" spans="2:4">
      <c r="B30"/>
      <c r="C30"/>
      <c r="D30" s="15"/>
    </row>
    <row r="31" spans="2:4">
      <c r="B31"/>
      <c r="C31"/>
      <c r="D31" s="15"/>
    </row>
    <row r="32" spans="2:4">
      <c r="B32"/>
      <c r="C32"/>
      <c r="D32" s="15"/>
    </row>
    <row r="33" spans="2:4">
      <c r="B33"/>
      <c r="C33"/>
      <c r="D33" s="15"/>
    </row>
    <row r="34" spans="2:4">
      <c r="B34"/>
      <c r="C34"/>
      <c r="D34" s="15"/>
    </row>
    <row r="35" spans="2:4">
      <c r="B35"/>
      <c r="C35"/>
      <c r="D35" s="15"/>
    </row>
    <row r="36" spans="2:4">
      <c r="B36"/>
      <c r="C36"/>
      <c r="D36" s="15"/>
    </row>
    <row r="37" spans="2:4">
      <c r="B37"/>
      <c r="C37"/>
      <c r="D37" s="15"/>
    </row>
    <row r="38" spans="2:4">
      <c r="B38"/>
      <c r="C38"/>
      <c r="D38" s="15"/>
    </row>
    <row r="39" spans="2:4">
      <c r="B39"/>
      <c r="C39"/>
      <c r="D39" s="15"/>
    </row>
    <row r="40" spans="2:4">
      <c r="B40"/>
      <c r="C40"/>
      <c r="D40" s="15"/>
    </row>
    <row r="41" spans="2:4">
      <c r="B41"/>
      <c r="C41"/>
      <c r="D41" s="15"/>
    </row>
    <row r="42" spans="2:4">
      <c r="B42"/>
      <c r="C42"/>
      <c r="D42" s="15"/>
    </row>
    <row r="43" spans="2:4">
      <c r="B43"/>
      <c r="C43"/>
      <c r="D43" s="15"/>
    </row>
    <row r="44" spans="2:4">
      <c r="B44"/>
      <c r="C44"/>
      <c r="D44" s="15"/>
    </row>
    <row r="45" spans="2:4">
      <c r="B45"/>
      <c r="C45"/>
      <c r="D45" s="15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6</vt:i4>
      </vt:variant>
    </vt:vector>
  </HeadingPairs>
  <TitlesOfParts>
    <vt:vector size="20" baseType="lpstr">
      <vt:lpstr>README</vt:lpstr>
      <vt:lpstr>SYNTHESE</vt:lpstr>
      <vt:lpstr>Synthèse_Rentabilité</vt:lpstr>
      <vt:lpstr>BUDGET</vt:lpstr>
      <vt:lpstr>REEL</vt:lpstr>
      <vt:lpstr>Consolide</vt:lpstr>
      <vt:lpstr>Dashboard</vt:lpstr>
      <vt:lpstr>Dashboard_Coût</vt:lpstr>
      <vt:lpstr>ANALYSE_VPM</vt:lpstr>
      <vt:lpstr>ANALYSE_MARGE</vt:lpstr>
      <vt:lpstr>CLIENTS</vt:lpstr>
      <vt:lpstr>VENTES</vt:lpstr>
      <vt:lpstr>Analyse_Rentabilité_Produit</vt:lpstr>
      <vt:lpstr>Analyse_Rentabilité_Client</vt:lpstr>
      <vt:lpstr>REEL!ListeMois</vt:lpstr>
      <vt:lpstr>ListeMois</vt:lpstr>
      <vt:lpstr>REEL!ListeProduits</vt:lpstr>
      <vt:lpstr>ListeProduits</vt:lpstr>
      <vt:lpstr>REEL!ListeRegions</vt:lpstr>
      <vt:lpstr>ListeRegions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edinguele</dc:creator>
  <cp:lastModifiedBy>alain edinguele</cp:lastModifiedBy>
  <dcterms:created xsi:type="dcterms:W3CDTF">2026-09-01T13:51:17Z</dcterms:created>
  <dcterms:modified xsi:type="dcterms:W3CDTF">2026-10-12T07:15:20Z</dcterms:modified>
</cp:coreProperties>
</file>